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GNITIVE\quotation_app_new\"/>
    </mc:Choice>
  </mc:AlternateContent>
  <xr:revisionPtr revIDLastSave="0" documentId="13_ncr:1_{F4A76960-4A6A-426B-B50D-D7E4BB4AAF02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DOCH Smart Panels" sheetId="1" r:id="rId1"/>
    <sheet name="DOCH_Lights" sheetId="7" r:id="rId2"/>
    <sheet name="NUE Smart Panels" sheetId="6" r:id="rId3"/>
    <sheet name="DOCH Scene Control Panels" sheetId="2" r:id="rId4"/>
    <sheet name="DOCH EOS Sales" sheetId="5" r:id="rId5"/>
    <sheet name="DOCH Smart Devices" sheetId="3" r:id="rId6"/>
    <sheet name="DOCH Smart Devices cat2" sheetId="4" r:id="rId7"/>
  </sheets>
  <calcPr calcId="191029"/>
</workbook>
</file>

<file path=xl/calcChain.xml><?xml version="1.0" encoding="utf-8"?>
<calcChain xmlns="http://schemas.openxmlformats.org/spreadsheetml/2006/main">
  <c r="H4" i="4" l="1"/>
  <c r="H3" i="4"/>
  <c r="H2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</calcChain>
</file>

<file path=xl/sharedStrings.xml><?xml version="1.0" encoding="utf-8"?>
<sst xmlns="http://schemas.openxmlformats.org/spreadsheetml/2006/main" count="456" uniqueCount="299">
  <si>
    <r>
      <rPr>
        <b/>
        <sz val="7"/>
        <rFont val="Arial"/>
        <family val="2"/>
      </rPr>
      <t>S.No</t>
    </r>
  </si>
  <si>
    <r>
      <rPr>
        <b/>
        <sz val="7"/>
        <rFont val="Arial"/>
        <family val="2"/>
      </rPr>
      <t>Product Image</t>
    </r>
  </si>
  <si>
    <r>
      <rPr>
        <b/>
        <sz val="7"/>
        <rFont val="Arial"/>
        <family val="2"/>
      </rPr>
      <t>Product name</t>
    </r>
  </si>
  <si>
    <r>
      <rPr>
        <b/>
        <sz val="7"/>
        <rFont val="Arial"/>
        <family val="2"/>
      </rPr>
      <t>Product ID</t>
    </r>
  </si>
  <si>
    <r>
      <rPr>
        <b/>
        <sz val="7"/>
        <rFont val="Arial"/>
        <family val="2"/>
      </rPr>
      <t>Product Description</t>
    </r>
  </si>
  <si>
    <r>
      <rPr>
        <b/>
        <sz val="7"/>
        <rFont val="Arial"/>
        <family val="2"/>
      </rPr>
      <t>Gang Box</t>
    </r>
  </si>
  <si>
    <r>
      <rPr>
        <b/>
        <sz val="7"/>
        <rFont val="Arial"/>
        <family val="2"/>
      </rPr>
      <t xml:space="preserve">Variant (RF/Wired
</t>
    </r>
    <r>
      <rPr>
        <b/>
        <sz val="7"/>
        <rFont val="Arial"/>
        <family val="2"/>
      </rPr>
      <t>)</t>
    </r>
  </si>
  <si>
    <r>
      <rPr>
        <b/>
        <sz val="7"/>
        <rFont val="Arial"/>
        <family val="2"/>
      </rPr>
      <t>REVO 6RS</t>
    </r>
  </si>
  <si>
    <r>
      <rPr>
        <b/>
        <sz val="7"/>
        <rFont val="Arial"/>
        <family val="2"/>
      </rPr>
      <t>DO-RE-6RS-SA</t>
    </r>
  </si>
  <si>
    <r>
      <rPr>
        <b/>
        <sz val="7"/>
        <rFont val="Arial"/>
        <family val="2"/>
      </rPr>
      <t>1 Knob + 4 button control knob + 6 Switch + 1 Socket</t>
    </r>
  </si>
  <si>
    <r>
      <rPr>
        <b/>
        <sz val="7"/>
        <rFont val="Arial"/>
        <family val="2"/>
      </rPr>
      <t>SAMI</t>
    </r>
  </si>
  <si>
    <r>
      <rPr>
        <b/>
        <sz val="7"/>
        <rFont val="Arial"/>
        <family val="2"/>
      </rPr>
      <t>REVO 4R</t>
    </r>
  </si>
  <si>
    <r>
      <rPr>
        <b/>
        <sz val="7"/>
        <rFont val="Arial"/>
        <family val="2"/>
      </rPr>
      <t>DO-RE-4R-SA</t>
    </r>
  </si>
  <si>
    <r>
      <rPr>
        <b/>
        <sz val="7"/>
        <rFont val="Arial"/>
        <family val="2"/>
      </rPr>
      <t>1 Knob + 4 button control knob + 6 Switch</t>
    </r>
  </si>
  <si>
    <r>
      <rPr>
        <b/>
        <sz val="7"/>
        <rFont val="Arial"/>
        <family val="2"/>
      </rPr>
      <t>REVO 4</t>
    </r>
  </si>
  <si>
    <r>
      <rPr>
        <b/>
        <sz val="7"/>
        <rFont val="Arial"/>
        <family val="2"/>
      </rPr>
      <t>DO-RE-4S-SA</t>
    </r>
  </si>
  <si>
    <r>
      <rPr>
        <b/>
        <sz val="7"/>
        <rFont val="Arial"/>
        <family val="2"/>
      </rPr>
      <t>4 Scene + 4 Switch + Socket</t>
    </r>
  </si>
  <si>
    <r>
      <rPr>
        <b/>
        <sz val="7"/>
        <rFont val="Arial"/>
        <family val="2"/>
      </rPr>
      <t>REVO 2</t>
    </r>
  </si>
  <si>
    <r>
      <rPr>
        <b/>
        <sz val="7"/>
        <rFont val="Arial"/>
        <family val="2"/>
      </rPr>
      <t>DO-RE-2-SA</t>
    </r>
  </si>
  <si>
    <r>
      <rPr>
        <b/>
        <sz val="7"/>
        <rFont val="Arial"/>
        <family val="2"/>
      </rPr>
      <t>4 scene + 4 Switch</t>
    </r>
  </si>
  <si>
    <r>
      <rPr>
        <b/>
        <sz val="7"/>
        <rFont val="Arial"/>
        <family val="2"/>
      </rPr>
      <t>REVO W</t>
    </r>
  </si>
  <si>
    <r>
      <rPr>
        <b/>
        <sz val="7"/>
        <rFont val="Arial"/>
        <family val="2"/>
      </rPr>
      <t>DO-RE-2W-SA</t>
    </r>
  </si>
  <si>
    <r>
      <rPr>
        <b/>
        <sz val="7"/>
        <rFont val="Arial"/>
        <family val="2"/>
      </rPr>
      <t>6 Button battery keypad</t>
    </r>
  </si>
  <si>
    <r>
      <rPr>
        <b/>
        <sz val="7"/>
        <rFont val="Arial"/>
        <family val="2"/>
      </rPr>
      <t>REVO 2S</t>
    </r>
  </si>
  <si>
    <r>
      <rPr>
        <b/>
        <sz val="7"/>
        <rFont val="Arial"/>
        <family val="2"/>
      </rPr>
      <t>DO-RE-2M-SA</t>
    </r>
  </si>
  <si>
    <r>
      <rPr>
        <b/>
        <sz val="7"/>
        <rFont val="Arial"/>
        <family val="2"/>
      </rPr>
      <t>Motion Detector Switch</t>
    </r>
  </si>
  <si>
    <r>
      <rPr>
        <b/>
        <sz val="7.5"/>
        <rFont val="Arial"/>
        <family val="2"/>
      </rPr>
      <t>NEXUS 2</t>
    </r>
  </si>
  <si>
    <r>
      <rPr>
        <b/>
        <sz val="7.5"/>
        <rFont val="Arial"/>
        <family val="2"/>
      </rPr>
      <t>DO-NE-20S-SA</t>
    </r>
  </si>
  <si>
    <r>
      <rPr>
        <b/>
        <sz val="7.5"/>
        <rFont val="Arial"/>
        <family val="2"/>
      </rPr>
      <t>4 Switch + 1 Scene Control Panel</t>
    </r>
  </si>
  <si>
    <r>
      <rPr>
        <b/>
        <sz val="7.5"/>
        <rFont val="Arial"/>
        <family val="2"/>
      </rPr>
      <t>SAMI</t>
    </r>
  </si>
  <si>
    <r>
      <rPr>
        <b/>
        <sz val="7.5"/>
        <rFont val="Arial"/>
        <family val="2"/>
      </rPr>
      <t>NEXUS 4</t>
    </r>
  </si>
  <si>
    <r>
      <rPr>
        <b/>
        <sz val="7.5"/>
        <rFont val="Arial"/>
        <family val="2"/>
      </rPr>
      <t>DO-NE-40S-SA</t>
    </r>
  </si>
  <si>
    <r>
      <rPr>
        <b/>
        <sz val="7.5"/>
        <rFont val="Arial"/>
        <family val="2"/>
      </rPr>
      <t>8 Switch Panel</t>
    </r>
  </si>
  <si>
    <r>
      <rPr>
        <b/>
        <sz val="7.5"/>
        <rFont val="Arial"/>
        <family val="2"/>
      </rPr>
      <t>NEXUS 4F</t>
    </r>
  </si>
  <si>
    <r>
      <rPr>
        <b/>
        <sz val="7.5"/>
        <rFont val="Arial"/>
        <family val="2"/>
      </rPr>
      <t>DO-NE-40F-SA</t>
    </r>
  </si>
  <si>
    <r>
      <rPr>
        <b/>
        <sz val="7.5"/>
        <rFont val="Arial"/>
        <family val="2"/>
      </rPr>
      <t>6 Switch + 1 Fan Panel</t>
    </r>
  </si>
  <si>
    <r>
      <rPr>
        <b/>
        <sz val="7.5"/>
        <rFont val="Arial"/>
        <family val="2"/>
      </rPr>
      <t>NEXUS 4P</t>
    </r>
  </si>
  <si>
    <r>
      <rPr>
        <b/>
        <sz val="7.5"/>
        <rFont val="Arial"/>
        <family val="2"/>
      </rPr>
      <t>DO-NE-40K-SA</t>
    </r>
  </si>
  <si>
    <r>
      <rPr>
        <b/>
        <sz val="7.5"/>
        <rFont val="Arial"/>
        <family val="2"/>
      </rPr>
      <t>4 Switch + 1 Scene Button + 1 Multi Socket + USB / C Charging port</t>
    </r>
  </si>
  <si>
    <r>
      <rPr>
        <b/>
        <sz val="7.5"/>
        <rFont val="Arial"/>
        <family val="2"/>
      </rPr>
      <t>NEXUS 4PF</t>
    </r>
  </si>
  <si>
    <r>
      <rPr>
        <b/>
        <sz val="7.5"/>
        <rFont val="Arial"/>
        <family val="2"/>
      </rPr>
      <t>DO-NE-4FK-SA</t>
    </r>
  </si>
  <si>
    <r>
      <rPr>
        <b/>
        <sz val="7.5"/>
        <rFont val="Arial"/>
        <family val="2"/>
      </rPr>
      <t>NEXUS 6</t>
    </r>
  </si>
  <si>
    <r>
      <rPr>
        <b/>
        <sz val="7.5"/>
        <rFont val="Arial"/>
        <family val="2"/>
      </rPr>
      <t>DO-SC-60S-SA</t>
    </r>
  </si>
  <si>
    <r>
      <rPr>
        <b/>
        <sz val="7.5"/>
        <rFont val="Arial"/>
        <family val="2"/>
      </rPr>
      <t>10 Switch</t>
    </r>
  </si>
  <si>
    <r>
      <rPr>
        <b/>
        <sz val="7.5"/>
        <rFont val="Arial"/>
        <family val="2"/>
      </rPr>
      <t>NEXUS 6S</t>
    </r>
  </si>
  <si>
    <r>
      <rPr>
        <b/>
        <sz val="7.5"/>
        <rFont val="Arial"/>
        <family val="2"/>
      </rPr>
      <t>DO-NE-68S-SA</t>
    </r>
  </si>
  <si>
    <r>
      <rPr>
        <b/>
        <sz val="7.5"/>
        <rFont val="Arial"/>
        <family val="2"/>
      </rPr>
      <t>7 Switch+1 Dimmer + 1Fan</t>
    </r>
  </si>
  <si>
    <r>
      <rPr>
        <b/>
        <sz val="7.5"/>
        <rFont val="Arial"/>
        <family val="2"/>
      </rPr>
      <t>NEXUS 6P</t>
    </r>
  </si>
  <si>
    <r>
      <rPr>
        <b/>
        <sz val="7.5"/>
        <rFont val="Arial"/>
        <family val="2"/>
      </rPr>
      <t>8 Switch + 1 Multi socket</t>
    </r>
  </si>
  <si>
    <r>
      <rPr>
        <b/>
        <sz val="7.5"/>
        <rFont val="Arial"/>
        <family val="2"/>
      </rPr>
      <t>NEXUS 6PF</t>
    </r>
  </si>
  <si>
    <r>
      <rPr>
        <b/>
        <sz val="7.5"/>
        <rFont val="Arial"/>
        <family val="2"/>
      </rPr>
      <t>DO-NE-68F-SA</t>
    </r>
  </si>
  <si>
    <r>
      <rPr>
        <b/>
        <sz val="7.5"/>
        <rFont val="Arial"/>
        <family val="2"/>
      </rPr>
      <t>6 Switch+1Fan + 1 Multi socket</t>
    </r>
  </si>
  <si>
    <r>
      <rPr>
        <b/>
        <sz val="7.5"/>
        <rFont val="Arial"/>
        <family val="2"/>
      </rPr>
      <t>PIXEL 4</t>
    </r>
  </si>
  <si>
    <r>
      <rPr>
        <b/>
        <sz val="7.5"/>
        <rFont val="Arial"/>
        <family val="2"/>
      </rPr>
      <t>DO-PI-20C-SA</t>
    </r>
  </si>
  <si>
    <r>
      <rPr>
        <b/>
        <sz val="7.5"/>
        <rFont val="Arial"/>
        <family val="2"/>
      </rPr>
      <t>Multi functional 4 Switch and scene control panel</t>
    </r>
  </si>
  <si>
    <r>
      <rPr>
        <b/>
        <sz val="7.5"/>
        <rFont val="Arial"/>
        <family val="2"/>
      </rPr>
      <t>PIXEL 8A</t>
    </r>
  </si>
  <si>
    <r>
      <rPr>
        <b/>
        <sz val="7.5"/>
        <rFont val="Arial"/>
        <family val="2"/>
      </rPr>
      <t>DO-PI-80S-SA</t>
    </r>
  </si>
  <si>
    <r>
      <rPr>
        <b/>
        <sz val="7.5"/>
        <rFont val="Arial"/>
        <family val="2"/>
      </rPr>
      <t>All in one Smart panel, Switch, Fan, HUB &amp; Alexa Voice control inbuilt</t>
    </r>
  </si>
  <si>
    <r>
      <rPr>
        <b/>
        <sz val="7.5"/>
        <rFont val="Arial"/>
        <family val="2"/>
      </rPr>
      <t>MULTI</t>
    </r>
  </si>
  <si>
    <r>
      <rPr>
        <b/>
        <sz val="7.5"/>
        <rFont val="Arial"/>
        <family val="2"/>
      </rPr>
      <t>NEXUS SE</t>
    </r>
  </si>
  <si>
    <r>
      <rPr>
        <b/>
        <sz val="7.5"/>
        <rFont val="Arial"/>
        <family val="2"/>
      </rPr>
      <t>DO-SC-05C-SA</t>
    </r>
  </si>
  <si>
    <r>
      <rPr>
        <b/>
        <sz val="7.5"/>
        <rFont val="Arial"/>
        <family val="2"/>
      </rPr>
      <t>5 Button Scene</t>
    </r>
  </si>
  <si>
    <r>
      <rPr>
        <b/>
        <sz val="7.5"/>
        <rFont val="Arial"/>
        <family val="2"/>
      </rPr>
      <t>NA</t>
    </r>
  </si>
  <si>
    <r>
      <rPr>
        <b/>
        <sz val="7.5"/>
        <rFont val="Arial"/>
        <family val="2"/>
      </rPr>
      <t>DO-SC-20S-SA</t>
    </r>
  </si>
  <si>
    <r>
      <rPr>
        <b/>
        <sz val="7.5"/>
        <rFont val="Arial"/>
        <family val="2"/>
      </rPr>
      <t>DO-SC-40S-SA</t>
    </r>
  </si>
  <si>
    <r>
      <rPr>
        <b/>
        <sz val="7.5"/>
        <rFont val="Arial"/>
        <family val="2"/>
      </rPr>
      <t>DO-SC-40F-SA</t>
    </r>
  </si>
  <si>
    <r>
      <rPr>
        <b/>
        <sz val="7.5"/>
        <rFont val="Arial"/>
        <family val="2"/>
      </rPr>
      <t>7 switch+1 Dimmer + 1Fan</t>
    </r>
  </si>
  <si>
    <r>
      <rPr>
        <b/>
        <sz val="7.5"/>
        <rFont val="Arial"/>
        <family val="2"/>
      </rPr>
      <t>NEXUS 8P</t>
    </r>
  </si>
  <si>
    <r>
      <rPr>
        <b/>
        <sz val="7.5"/>
        <rFont val="Arial"/>
        <family val="2"/>
      </rPr>
      <t>DO-NE-80K-SA</t>
    </r>
  </si>
  <si>
    <r>
      <rPr>
        <b/>
        <sz val="7.5"/>
        <rFont val="Arial"/>
        <family val="2"/>
      </rPr>
      <t>NEXUS 8M</t>
    </r>
  </si>
  <si>
    <r>
      <rPr>
        <b/>
        <sz val="7.5"/>
        <rFont val="Arial"/>
        <family val="2"/>
      </rPr>
      <t>DO-NE-8DK-SA</t>
    </r>
  </si>
  <si>
    <r>
      <rPr>
        <b/>
        <sz val="7.5"/>
        <rFont val="Arial"/>
        <family val="2"/>
      </rPr>
      <t>4 switch+1 Dimmer + 1Fan + 3 multi functional device + 1 AC socket</t>
    </r>
  </si>
  <si>
    <r>
      <rPr>
        <b/>
        <sz val="7.5"/>
        <rFont val="Arial"/>
        <family val="2"/>
      </rPr>
      <t>4 switch+ 2 AC socket</t>
    </r>
  </si>
  <si>
    <r>
      <rPr>
        <b/>
        <sz val="7"/>
        <rFont val="Arial"/>
        <family val="2"/>
      </rPr>
      <t>Variant (RF/Wired)</t>
    </r>
  </si>
  <si>
    <r>
      <rPr>
        <b/>
        <sz val="7"/>
        <rFont val="Arial"/>
        <family val="2"/>
      </rPr>
      <t>DOCH 4R/Curtain Retrofit module</t>
    </r>
  </si>
  <si>
    <r>
      <rPr>
        <b/>
        <sz val="7"/>
        <rFont val="Arial"/>
        <family val="2"/>
      </rPr>
      <t>DO-IM-04R-SA</t>
    </r>
  </si>
  <si>
    <r>
      <rPr>
        <b/>
        <sz val="7"/>
        <rFont val="Arial"/>
        <family val="2"/>
      </rPr>
      <t>4 Switches</t>
    </r>
  </si>
  <si>
    <r>
      <rPr>
        <b/>
        <sz val="6"/>
        <rFont val="Arial"/>
        <family val="2"/>
      </rPr>
      <t>NA</t>
    </r>
  </si>
  <si>
    <r>
      <rPr>
        <b/>
        <sz val="7"/>
        <rFont val="Arial"/>
        <family val="2"/>
      </rPr>
      <t>SAMI/ZIGBEE</t>
    </r>
  </si>
  <si>
    <r>
      <rPr>
        <b/>
        <sz val="7"/>
        <rFont val="Arial"/>
        <family val="2"/>
      </rPr>
      <t>DOCH 1 R Retrofit Module</t>
    </r>
  </si>
  <si>
    <r>
      <rPr>
        <b/>
        <sz val="7"/>
        <rFont val="Arial"/>
        <family val="2"/>
      </rPr>
      <t>DO-IM-01R-SA</t>
    </r>
  </si>
  <si>
    <r>
      <rPr>
        <b/>
        <sz val="7"/>
        <rFont val="Arial"/>
        <family val="2"/>
      </rPr>
      <t>1 Switch</t>
    </r>
  </si>
  <si>
    <r>
      <rPr>
        <b/>
        <sz val="7"/>
        <rFont val="Arial"/>
        <family val="2"/>
      </rPr>
      <t xml:space="preserve">DOCH SAMI IR
</t>
    </r>
    <r>
      <rPr>
        <b/>
        <sz val="7"/>
        <rFont val="Arial"/>
        <family val="2"/>
      </rPr>
      <t>controller</t>
    </r>
  </si>
  <si>
    <r>
      <rPr>
        <b/>
        <sz val="7"/>
        <rFont val="Arial"/>
        <family val="2"/>
      </rPr>
      <t>DO-IR-001-SA</t>
    </r>
  </si>
  <si>
    <r>
      <rPr>
        <b/>
        <sz val="7"/>
        <rFont val="Arial"/>
        <family val="2"/>
      </rPr>
      <t>IR Controller</t>
    </r>
  </si>
  <si>
    <r>
      <rPr>
        <b/>
        <sz val="7"/>
        <rFont val="Arial"/>
        <family val="2"/>
      </rPr>
      <t>DOCH Daikin VRV AC</t>
    </r>
  </si>
  <si>
    <r>
      <rPr>
        <b/>
        <sz val="7"/>
        <rFont val="Arial"/>
        <family val="2"/>
      </rPr>
      <t>DO-VR-001-SA</t>
    </r>
  </si>
  <si>
    <r>
      <rPr>
        <b/>
        <sz val="7"/>
        <rFont val="Arial"/>
        <family val="2"/>
      </rPr>
      <t>VRV AC Module</t>
    </r>
  </si>
  <si>
    <r>
      <rPr>
        <b/>
        <sz val="7"/>
        <rFont val="Arial"/>
        <family val="2"/>
      </rPr>
      <t>DO VRV AC</t>
    </r>
  </si>
  <si>
    <r>
      <rPr>
        <b/>
        <sz val="7"/>
        <rFont val="Arial"/>
        <family val="2"/>
      </rPr>
      <t>DO-VR-002-SA</t>
    </r>
  </si>
  <si>
    <r>
      <rPr>
        <b/>
        <sz val="7"/>
        <rFont val="Arial"/>
        <family val="2"/>
      </rPr>
      <t>VRV AC Controller</t>
    </r>
  </si>
  <si>
    <r>
      <rPr>
        <b/>
        <sz val="7"/>
        <rFont val="Arial"/>
        <family val="2"/>
      </rPr>
      <t xml:space="preserve">DOCH CURTAIN
</t>
    </r>
    <r>
      <rPr>
        <b/>
        <sz val="7"/>
        <rFont val="Arial"/>
        <family val="2"/>
      </rPr>
      <t>Motor Mini</t>
    </r>
  </si>
  <si>
    <r>
      <rPr>
        <b/>
        <sz val="7"/>
        <rFont val="Arial"/>
        <family val="2"/>
      </rPr>
      <t>CD-CU-MO1-SA</t>
    </r>
  </si>
  <si>
    <r>
      <rPr>
        <b/>
        <sz val="7"/>
        <rFont val="Arial"/>
        <family val="2"/>
      </rPr>
      <t>Curtain motor</t>
    </r>
  </si>
  <si>
    <r>
      <rPr>
        <b/>
        <sz val="7"/>
        <rFont val="Arial"/>
        <family val="2"/>
      </rPr>
      <t>CD-CU-TK1-NA</t>
    </r>
  </si>
  <si>
    <r>
      <rPr>
        <b/>
        <sz val="7"/>
        <rFont val="Arial"/>
        <family val="2"/>
      </rPr>
      <t>CD Curtain Remote</t>
    </r>
  </si>
  <si>
    <r>
      <rPr>
        <b/>
        <sz val="7"/>
        <rFont val="Arial"/>
        <family val="2"/>
      </rPr>
      <t>CD-CU-RE1-NA</t>
    </r>
  </si>
  <si>
    <r>
      <rPr>
        <b/>
        <sz val="7"/>
        <rFont val="Arial"/>
        <family val="2"/>
      </rPr>
      <t>DOCH Lock Pro</t>
    </r>
  </si>
  <si>
    <r>
      <rPr>
        <b/>
        <sz val="7"/>
        <rFont val="Arial"/>
        <family val="2"/>
      </rPr>
      <t>DO-LK-0P1-WF</t>
    </r>
  </si>
  <si>
    <r>
      <rPr>
        <b/>
        <sz val="7"/>
        <rFont val="Arial"/>
        <family val="2"/>
      </rPr>
      <t>Smart Lock</t>
    </r>
  </si>
  <si>
    <r>
      <rPr>
        <b/>
        <sz val="7"/>
        <rFont val="Arial"/>
        <family val="2"/>
      </rPr>
      <t>WiFi</t>
    </r>
  </si>
  <si>
    <r>
      <rPr>
        <b/>
        <sz val="7"/>
        <rFont val="Arial"/>
        <family val="2"/>
      </rPr>
      <t>DOCH MA V2</t>
    </r>
  </si>
  <si>
    <r>
      <rPr>
        <b/>
        <sz val="7"/>
        <rFont val="Arial"/>
        <family val="2"/>
      </rPr>
      <t>DO-MA-001-WF</t>
    </r>
  </si>
  <si>
    <r>
      <rPr>
        <b/>
        <sz val="7"/>
        <rFont val="Arial"/>
        <family val="2"/>
      </rPr>
      <t>Music Controller</t>
    </r>
  </si>
  <si>
    <r>
      <rPr>
        <b/>
        <sz val="7"/>
        <rFont val="Arial"/>
        <family val="2"/>
      </rPr>
      <t>IP/WIFI</t>
    </r>
  </si>
  <si>
    <r>
      <rPr>
        <b/>
        <sz val="7"/>
        <rFont val="Arial"/>
        <family val="2"/>
      </rPr>
      <t>DOCH MA V3</t>
    </r>
  </si>
  <si>
    <r>
      <rPr>
        <b/>
        <sz val="7"/>
        <rFont val="Arial"/>
        <family val="2"/>
      </rPr>
      <t>DO-MA-002-WF</t>
    </r>
  </si>
  <si>
    <r>
      <rPr>
        <b/>
        <sz val="7"/>
        <rFont val="Arial"/>
        <family val="2"/>
      </rPr>
      <t>DOCH SAMI PRO</t>
    </r>
  </si>
  <si>
    <r>
      <rPr>
        <b/>
        <sz val="6"/>
        <rFont val="Arial"/>
        <family val="2"/>
      </rPr>
      <t>DO-RE-HC1-SA</t>
    </r>
  </si>
  <si>
    <r>
      <rPr>
        <b/>
        <sz val="7"/>
        <rFont val="Arial"/>
        <family val="2"/>
      </rPr>
      <t>Home Controller+SAMI Electrical</t>
    </r>
  </si>
  <si>
    <r>
      <rPr>
        <b/>
        <sz val="7"/>
        <rFont val="Arial"/>
        <family val="2"/>
      </rPr>
      <t>MULTI</t>
    </r>
  </si>
  <si>
    <r>
      <rPr>
        <b/>
        <sz val="7"/>
        <rFont val="Arial"/>
        <family val="2"/>
      </rPr>
      <t>DOCH SAMI FLEX</t>
    </r>
  </si>
  <si>
    <r>
      <rPr>
        <sz val="7"/>
        <rFont val="Arial MT"/>
        <family val="2"/>
      </rPr>
      <t>DO-RE-HC/4.0</t>
    </r>
  </si>
  <si>
    <r>
      <rPr>
        <sz val="7"/>
        <rFont val="Arial MT"/>
        <family val="2"/>
      </rPr>
      <t>Home Controller - Plug type</t>
    </r>
  </si>
  <si>
    <r>
      <rPr>
        <b/>
        <sz val="7"/>
        <rFont val="Arial"/>
        <family val="2"/>
      </rPr>
      <t>DOCH SAMI Bridge</t>
    </r>
  </si>
  <si>
    <r>
      <rPr>
        <b/>
        <sz val="7"/>
        <rFont val="Arial"/>
        <family val="2"/>
      </rPr>
      <t>DO-IM-BD1-SA</t>
    </r>
  </si>
  <si>
    <r>
      <rPr>
        <b/>
        <sz val="7"/>
        <rFont val="Arial"/>
        <family val="2"/>
      </rPr>
      <t>SAMI Bridge</t>
    </r>
  </si>
  <si>
    <r>
      <rPr>
        <b/>
        <sz val="6.5"/>
        <rFont val="Arial"/>
        <family val="2"/>
      </rPr>
      <t>S.No</t>
    </r>
  </si>
  <si>
    <r>
      <rPr>
        <b/>
        <sz val="6.5"/>
        <rFont val="Arial"/>
        <family val="2"/>
      </rPr>
      <t>Product name</t>
    </r>
  </si>
  <si>
    <r>
      <rPr>
        <b/>
        <sz val="6.5"/>
        <rFont val="Arial"/>
        <family val="2"/>
      </rPr>
      <t>Product ID</t>
    </r>
  </si>
  <si>
    <r>
      <rPr>
        <b/>
        <sz val="6.5"/>
        <rFont val="Arial"/>
        <family val="2"/>
      </rPr>
      <t>Product Description</t>
    </r>
  </si>
  <si>
    <r>
      <rPr>
        <b/>
        <sz val="6.5"/>
        <rFont val="Arial"/>
        <family val="2"/>
      </rPr>
      <t>Gang Box</t>
    </r>
  </si>
  <si>
    <r>
      <rPr>
        <b/>
        <sz val="6.5"/>
        <rFont val="Arial"/>
        <family val="2"/>
      </rPr>
      <t>Variant (RF/Wired)</t>
    </r>
  </si>
  <si>
    <r>
      <rPr>
        <b/>
        <sz val="6.5"/>
        <rFont val="Arial"/>
        <family val="2"/>
      </rPr>
      <t>DO-SC-VD1-IP</t>
    </r>
  </si>
  <si>
    <r>
      <rPr>
        <b/>
        <sz val="6.5"/>
        <rFont val="Arial"/>
        <family val="2"/>
      </rPr>
      <t>Gateway+Video Door Phone</t>
    </r>
  </si>
  <si>
    <r>
      <rPr>
        <b/>
        <sz val="6.5"/>
        <rFont val="Arial"/>
        <family val="2"/>
      </rPr>
      <t>IP</t>
    </r>
  </si>
  <si>
    <r>
      <rPr>
        <b/>
        <sz val="6.5"/>
        <rFont val="Arial"/>
        <family val="2"/>
      </rPr>
      <t>DOCH Intercom outdoor unit</t>
    </r>
  </si>
  <si>
    <r>
      <rPr>
        <b/>
        <sz val="6.5"/>
        <rFont val="Arial"/>
        <family val="2"/>
      </rPr>
      <t>DO-SC-0DB-IP</t>
    </r>
  </si>
  <si>
    <r>
      <rPr>
        <b/>
        <sz val="6.5"/>
        <rFont val="Arial"/>
        <family val="2"/>
      </rPr>
      <t>Intercom outdoor</t>
    </r>
  </si>
  <si>
    <r>
      <rPr>
        <b/>
        <sz val="6.5"/>
        <rFont val="Arial"/>
        <family val="2"/>
      </rPr>
      <t>DOCH Door Sensor</t>
    </r>
  </si>
  <si>
    <r>
      <rPr>
        <sz val="6.5"/>
        <rFont val="Arial MT"/>
        <family val="2"/>
      </rPr>
      <t>DO-SE-DS1-SA</t>
    </r>
  </si>
  <si>
    <r>
      <rPr>
        <b/>
        <sz val="6.5"/>
        <rFont val="Arial"/>
        <family val="2"/>
      </rPr>
      <t>Door sensor</t>
    </r>
  </si>
  <si>
    <r>
      <rPr>
        <b/>
        <sz val="6.5"/>
        <rFont val="Arial"/>
        <family val="2"/>
      </rPr>
      <t>SAMI</t>
    </r>
  </si>
  <si>
    <r>
      <rPr>
        <b/>
        <sz val="6.5"/>
        <rFont val="Arial"/>
        <family val="2"/>
      </rPr>
      <t>DOCH Occupancy Sensor</t>
    </r>
  </si>
  <si>
    <r>
      <rPr>
        <sz val="6.5"/>
        <rFont val="Arial MT"/>
        <family val="2"/>
      </rPr>
      <t>DO-SE-OC1-SA</t>
    </r>
  </si>
  <si>
    <r>
      <rPr>
        <b/>
        <sz val="6.5"/>
        <rFont val="Arial"/>
        <family val="2"/>
      </rPr>
      <t>Occupancy sensor</t>
    </r>
  </si>
  <si>
    <r>
      <rPr>
        <b/>
        <sz val="6.5"/>
        <rFont val="Arial"/>
        <family val="2"/>
      </rPr>
      <t>DOCH Smoke Sensor</t>
    </r>
  </si>
  <si>
    <r>
      <rPr>
        <sz val="6.5"/>
        <rFont val="Arial MT"/>
        <family val="2"/>
      </rPr>
      <t>DO-SE-M01-SA</t>
    </r>
  </si>
  <si>
    <r>
      <rPr>
        <b/>
        <sz val="6.5"/>
        <rFont val="Arial"/>
        <family val="2"/>
      </rPr>
      <t>Smoke sensor</t>
    </r>
  </si>
  <si>
    <r>
      <rPr>
        <b/>
        <sz val="6.5"/>
        <rFont val="Arial"/>
        <family val="2"/>
      </rPr>
      <t>Zigbee</t>
    </r>
  </si>
  <si>
    <r>
      <rPr>
        <sz val="6.5"/>
        <rFont val="Arial MT"/>
        <family val="2"/>
      </rPr>
      <t>NUE Security KIT</t>
    </r>
  </si>
  <si>
    <r>
      <rPr>
        <b/>
        <sz val="6.5"/>
        <rFont val="Arial"/>
        <family val="2"/>
      </rPr>
      <t>CD-SC-4G1-M</t>
    </r>
  </si>
  <si>
    <r>
      <rPr>
        <b/>
        <sz val="6.5"/>
        <rFont val="Arial"/>
        <family val="2"/>
      </rPr>
      <t>4G Home Security Kit</t>
    </r>
  </si>
  <si>
    <r>
      <rPr>
        <b/>
        <sz val="6.5"/>
        <rFont val="Arial"/>
        <family val="2"/>
      </rPr>
      <t>NA</t>
    </r>
  </si>
  <si>
    <r>
      <rPr>
        <b/>
        <sz val="6.5"/>
        <rFont val="Arial"/>
        <family val="2"/>
      </rPr>
      <t>MULTI</t>
    </r>
  </si>
  <si>
    <r>
      <rPr>
        <b/>
        <sz val="6.5"/>
        <rFont val="Arial"/>
        <family val="2"/>
      </rPr>
      <t>NUE Zigbee Gateway</t>
    </r>
  </si>
  <si>
    <r>
      <rPr>
        <b/>
        <sz val="6.5"/>
        <rFont val="Arial"/>
        <family val="2"/>
      </rPr>
      <t>NU-HB-001-ZB</t>
    </r>
  </si>
  <si>
    <r>
      <rPr>
        <b/>
        <sz val="6.5"/>
        <rFont val="Arial"/>
        <family val="2"/>
      </rPr>
      <t>Home controller</t>
    </r>
  </si>
  <si>
    <r>
      <rPr>
        <b/>
        <sz val="6.5"/>
        <rFont val="Arial"/>
        <family val="2"/>
      </rPr>
      <t>NUE IR WIFI</t>
    </r>
  </si>
  <si>
    <r>
      <rPr>
        <b/>
        <sz val="6.5"/>
        <rFont val="Arial"/>
        <family val="2"/>
      </rPr>
      <t>CD-IR-001-W</t>
    </r>
  </si>
  <si>
    <r>
      <rPr>
        <b/>
        <sz val="6.5"/>
        <rFont val="Arial"/>
        <family val="2"/>
      </rPr>
      <t>Universal Remote Controller</t>
    </r>
  </si>
  <si>
    <r>
      <rPr>
        <b/>
        <sz val="6.5"/>
        <rFont val="Arial"/>
        <family val="2"/>
      </rPr>
      <t>WiFi</t>
    </r>
  </si>
  <si>
    <r>
      <rPr>
        <b/>
        <sz val="6.5"/>
        <rFont val="Arial"/>
        <family val="2"/>
      </rPr>
      <t>NUE Lock Eco</t>
    </r>
  </si>
  <si>
    <r>
      <rPr>
        <b/>
        <sz val="6.5"/>
        <rFont val="Arial"/>
        <family val="2"/>
      </rPr>
      <t>CD-LK-0E1-W</t>
    </r>
  </si>
  <si>
    <r>
      <rPr>
        <b/>
        <sz val="6"/>
        <rFont val="Arial"/>
        <family val="2"/>
      </rPr>
      <t>Door Lock</t>
    </r>
  </si>
  <si>
    <r>
      <rPr>
        <b/>
        <sz val="6.5"/>
        <rFont val="Arial"/>
        <family val="2"/>
      </rPr>
      <t>NUE Lock Retro</t>
    </r>
  </si>
  <si>
    <r>
      <rPr>
        <b/>
        <sz val="6.5"/>
        <rFont val="Arial"/>
        <family val="2"/>
      </rPr>
      <t>CD-LK-0E2-W</t>
    </r>
  </si>
  <si>
    <r>
      <rPr>
        <b/>
        <sz val="6.5"/>
        <rFont val="Arial"/>
        <family val="2"/>
      </rPr>
      <t>Retrofit Door Lock</t>
    </r>
  </si>
  <si>
    <r>
      <rPr>
        <b/>
        <sz val="6.5"/>
        <rFont val="Arial"/>
        <family val="2"/>
      </rPr>
      <t>NUE Lock Mini (for bedroom)</t>
    </r>
  </si>
  <si>
    <r>
      <rPr>
        <b/>
        <sz val="6.5"/>
        <rFont val="Arial"/>
        <family val="2"/>
      </rPr>
      <t>CD-LK-0E3-W</t>
    </r>
  </si>
  <si>
    <r>
      <rPr>
        <b/>
        <sz val="6.5"/>
        <rFont val="Arial"/>
        <family val="2"/>
      </rPr>
      <t>Mini Door Lock</t>
    </r>
  </si>
  <si>
    <r>
      <rPr>
        <b/>
        <sz val="6.5"/>
        <rFont val="Arial"/>
        <family val="2"/>
      </rPr>
      <t>Lock stand Big</t>
    </r>
  </si>
  <si>
    <r>
      <rPr>
        <b/>
        <sz val="6.5"/>
        <rFont val="Arial"/>
        <family val="2"/>
      </rPr>
      <t>CD-LK-ST1-NA</t>
    </r>
  </si>
  <si>
    <r>
      <rPr>
        <b/>
        <sz val="6.5"/>
        <rFont val="Arial"/>
        <family val="2"/>
      </rPr>
      <t>Stand</t>
    </r>
  </si>
  <si>
    <r>
      <rPr>
        <b/>
        <sz val="6.5"/>
        <rFont val="Arial"/>
        <family val="2"/>
      </rPr>
      <t>Lock stand Mini</t>
    </r>
  </si>
  <si>
    <r>
      <rPr>
        <b/>
        <sz val="6.5"/>
        <rFont val="Arial"/>
        <family val="2"/>
      </rPr>
      <t>CD-LK-ST2-NA</t>
    </r>
  </si>
  <si>
    <r>
      <rPr>
        <b/>
        <sz val="6.5"/>
        <rFont val="Arial"/>
        <family val="2"/>
      </rPr>
      <t>NUE Motion sensor</t>
    </r>
  </si>
  <si>
    <r>
      <rPr>
        <b/>
        <sz val="6.5"/>
        <rFont val="Arial"/>
        <family val="2"/>
      </rPr>
      <t>CD-SE-MO1-NA</t>
    </r>
  </si>
  <si>
    <r>
      <rPr>
        <b/>
        <sz val="6.5"/>
        <rFont val="Arial"/>
        <family val="2"/>
      </rPr>
      <t>Stand Alone Motion Sensor</t>
    </r>
  </si>
  <si>
    <r>
      <rPr>
        <b/>
        <sz val="6.5"/>
        <rFont val="Arial"/>
        <family val="2"/>
      </rPr>
      <t>Intermediate Relay</t>
    </r>
  </si>
  <si>
    <r>
      <rPr>
        <b/>
        <sz val="6.5"/>
        <rFont val="Arial"/>
        <family val="2"/>
      </rPr>
      <t>CD-IM-30R-NA</t>
    </r>
  </si>
  <si>
    <r>
      <rPr>
        <b/>
        <sz val="6.5"/>
        <rFont val="Arial"/>
        <family val="2"/>
      </rPr>
      <t>30A Relay</t>
    </r>
  </si>
  <si>
    <r>
      <rPr>
        <b/>
        <sz val="6.5"/>
        <rFont val="Arial"/>
        <family val="2"/>
      </rPr>
      <t xml:space="preserve">DOCH AI CCTV
</t>
    </r>
    <r>
      <rPr>
        <b/>
        <sz val="6.5"/>
        <rFont val="Arial"/>
        <family val="2"/>
      </rPr>
      <t>Indoor</t>
    </r>
  </si>
  <si>
    <r>
      <rPr>
        <b/>
        <sz val="6.5"/>
        <rFont val="Arial"/>
        <family val="2"/>
      </rPr>
      <t>CD-SC-CC1-IP</t>
    </r>
  </si>
  <si>
    <r>
      <rPr>
        <b/>
        <sz val="6.5"/>
        <rFont val="Arial"/>
        <family val="2"/>
      </rPr>
      <t>Dome Camera</t>
    </r>
  </si>
  <si>
    <r>
      <rPr>
        <b/>
        <sz val="6.5"/>
        <rFont val="Arial"/>
        <family val="2"/>
      </rPr>
      <t xml:space="preserve">DOCH AI CCTV
</t>
    </r>
    <r>
      <rPr>
        <b/>
        <sz val="6.5"/>
        <rFont val="Arial"/>
        <family val="2"/>
      </rPr>
      <t>Outdoor</t>
    </r>
  </si>
  <si>
    <r>
      <rPr>
        <b/>
        <sz val="6.5"/>
        <rFont val="Arial"/>
        <family val="2"/>
      </rPr>
      <t>CD-SC-CC2-IP</t>
    </r>
  </si>
  <si>
    <r>
      <rPr>
        <b/>
        <sz val="6.5"/>
        <rFont val="Arial"/>
        <family val="2"/>
      </rPr>
      <t>Turret Camera</t>
    </r>
  </si>
  <si>
    <r>
      <rPr>
        <b/>
        <sz val="6.5"/>
        <rFont val="Arial"/>
        <family val="2"/>
      </rPr>
      <t>DOCH AI NVR 8 CH</t>
    </r>
  </si>
  <si>
    <r>
      <rPr>
        <b/>
        <sz val="6.5"/>
        <rFont val="Arial"/>
        <family val="2"/>
      </rPr>
      <t>CD-SC-N08-IP</t>
    </r>
  </si>
  <si>
    <r>
      <rPr>
        <b/>
        <sz val="6.5"/>
        <rFont val="Arial"/>
        <family val="2"/>
      </rPr>
      <t>8 Channel NVR</t>
    </r>
  </si>
  <si>
    <r>
      <rPr>
        <b/>
        <sz val="6.5"/>
        <rFont val="Arial"/>
        <family val="2"/>
      </rPr>
      <t>DOCH AI NVR 16 CH</t>
    </r>
  </si>
  <si>
    <r>
      <rPr>
        <b/>
        <sz val="6.5"/>
        <rFont val="Arial"/>
        <family val="2"/>
      </rPr>
      <t>CD-SC-N16-IP</t>
    </r>
  </si>
  <si>
    <r>
      <rPr>
        <b/>
        <sz val="6.5"/>
        <rFont val="Arial"/>
        <family val="2"/>
      </rPr>
      <t>16 Channel NVR</t>
    </r>
  </si>
  <si>
    <r>
      <rPr>
        <b/>
        <sz val="6.5"/>
        <rFont val="Arial"/>
        <family val="2"/>
      </rPr>
      <t>NUE 7 INCH SMART VDP</t>
    </r>
  </si>
  <si>
    <r>
      <rPr>
        <b/>
        <sz val="6.5"/>
        <rFont val="Arial"/>
        <family val="2"/>
      </rPr>
      <t>CD-SC-VDP-IP</t>
    </r>
  </si>
  <si>
    <r>
      <rPr>
        <b/>
        <sz val="6.5"/>
        <rFont val="Arial"/>
        <family val="2"/>
      </rPr>
      <t>Video Door Phone</t>
    </r>
  </si>
  <si>
    <r>
      <rPr>
        <b/>
        <sz val="6.5"/>
        <rFont val="Arial"/>
        <family val="2"/>
      </rPr>
      <t>CD Strair case serial lighting</t>
    </r>
  </si>
  <si>
    <r>
      <rPr>
        <b/>
        <sz val="6.5"/>
        <rFont val="Arial"/>
        <family val="2"/>
      </rPr>
      <t>CD-OT-SC1-NA</t>
    </r>
  </si>
  <si>
    <r>
      <rPr>
        <b/>
        <sz val="6.5"/>
        <rFont val="Arial"/>
        <family val="2"/>
      </rPr>
      <t>Stair Case Lighting</t>
    </r>
  </si>
  <si>
    <r>
      <rPr>
        <b/>
        <sz val="6.5"/>
        <rFont val="Arial"/>
        <family val="2"/>
      </rPr>
      <t>Coming Soon</t>
    </r>
  </si>
  <si>
    <r>
      <rPr>
        <b/>
        <sz val="6.5"/>
        <rFont val="Arial"/>
        <family val="2"/>
      </rPr>
      <t>CD Wardrobre Automatic switch</t>
    </r>
  </si>
  <si>
    <r>
      <rPr>
        <b/>
        <sz val="6.5"/>
        <rFont val="Arial"/>
        <family val="2"/>
      </rPr>
      <t>CD-OT-WR1-NA</t>
    </r>
  </si>
  <si>
    <r>
      <rPr>
        <b/>
        <sz val="6.5"/>
        <rFont val="Arial"/>
        <family val="2"/>
      </rPr>
      <t>Wardrobe Switch</t>
    </r>
  </si>
  <si>
    <r>
      <rPr>
        <b/>
        <sz val="6.5"/>
        <rFont val="Arial"/>
        <family val="2"/>
      </rPr>
      <t>CD Water Sprinkler</t>
    </r>
  </si>
  <si>
    <r>
      <rPr>
        <b/>
        <sz val="6.5"/>
        <rFont val="Arial"/>
        <family val="2"/>
      </rPr>
      <t>CD-OT-WS1-WI</t>
    </r>
  </si>
  <si>
    <r>
      <rPr>
        <b/>
        <sz val="6.5"/>
        <rFont val="Arial"/>
        <family val="2"/>
      </rPr>
      <t>Water Sprinkler</t>
    </r>
  </si>
  <si>
    <r>
      <rPr>
        <b/>
        <sz val="6.5"/>
        <rFont val="Arial"/>
        <family val="2"/>
      </rPr>
      <t>CD Automatic Water Pump</t>
    </r>
  </si>
  <si>
    <r>
      <rPr>
        <b/>
        <sz val="6.5"/>
        <rFont val="Arial"/>
        <family val="2"/>
      </rPr>
      <t>CD-OT-WP1-WI</t>
    </r>
  </si>
  <si>
    <r>
      <rPr>
        <b/>
        <sz val="6.5"/>
        <rFont val="Arial"/>
        <family val="2"/>
      </rPr>
      <t>Water Pump</t>
    </r>
  </si>
  <si>
    <r>
      <rPr>
        <b/>
        <sz val="6.5"/>
        <rFont val="Arial"/>
        <family val="2"/>
      </rPr>
      <t>CD WiFi Access Point</t>
    </r>
  </si>
  <si>
    <r>
      <rPr>
        <b/>
        <sz val="6.5"/>
        <rFont val="Arial"/>
        <family val="2"/>
      </rPr>
      <t>CD-NW-RU1-IP</t>
    </r>
  </si>
  <si>
    <r>
      <rPr>
        <b/>
        <sz val="6.5"/>
        <rFont val="Arial"/>
        <family val="2"/>
      </rPr>
      <t>Access Point Router</t>
    </r>
  </si>
  <si>
    <r>
      <rPr>
        <b/>
        <sz val="6.5"/>
        <rFont val="Arial"/>
        <family val="2"/>
      </rPr>
      <t>CD Network Switch</t>
    </r>
  </si>
  <si>
    <r>
      <rPr>
        <b/>
        <sz val="6.5"/>
        <rFont val="Arial"/>
        <family val="2"/>
      </rPr>
      <t>CD-NW-AC1-IP</t>
    </r>
  </si>
  <si>
    <r>
      <rPr>
        <b/>
        <sz val="6.5"/>
        <rFont val="Arial"/>
        <family val="2"/>
      </rPr>
      <t>POE Switch</t>
    </r>
  </si>
  <si>
    <t>Product Image</t>
  </si>
  <si>
    <t>Gang Box</t>
  </si>
  <si>
    <t>NA</t>
  </si>
  <si>
    <t>S.No.</t>
  </si>
  <si>
    <t>Product name</t>
  </si>
  <si>
    <t>Product ID</t>
  </si>
  <si>
    <t>Product Description</t>
  </si>
  <si>
    <r>
      <rPr>
        <sz val="11"/>
        <rFont val="Candara"/>
        <family val="1"/>
      </rPr>
      <t>NUE 2</t>
    </r>
  </si>
  <si>
    <r>
      <rPr>
        <sz val="11"/>
        <rFont val="Candara"/>
        <family val="1"/>
      </rPr>
      <t>NUE-N2XXX-BG-WF</t>
    </r>
  </si>
  <si>
    <r>
      <rPr>
        <sz val="11"/>
        <rFont val="Candara"/>
        <family val="1"/>
      </rPr>
      <t>4 Touch Switch</t>
    </r>
  </si>
  <si>
    <r>
      <rPr>
        <sz val="11"/>
        <rFont val="Candara"/>
        <family val="1"/>
      </rPr>
      <t>2M</t>
    </r>
  </si>
  <si>
    <r>
      <rPr>
        <sz val="11"/>
        <rFont val="Candara"/>
        <family val="1"/>
      </rPr>
      <t>NUE 2S</t>
    </r>
  </si>
  <si>
    <r>
      <rPr>
        <sz val="11"/>
        <rFont val="Candara"/>
        <family val="1"/>
      </rPr>
      <t>NUE-N2SXX-BG-WF</t>
    </r>
  </si>
  <si>
    <r>
      <rPr>
        <sz val="11"/>
        <rFont val="Candara"/>
        <family val="1"/>
      </rPr>
      <t>Motion sensor + 1 Touch Control Panel</t>
    </r>
  </si>
  <si>
    <r>
      <rPr>
        <sz val="11"/>
        <rFont val="Candara"/>
        <family val="1"/>
      </rPr>
      <t>NUE 4P</t>
    </r>
  </si>
  <si>
    <r>
      <rPr>
        <sz val="11"/>
        <rFont val="Candara"/>
        <family val="1"/>
      </rPr>
      <t>NUE-N4PXX-BG-WF</t>
    </r>
  </si>
  <si>
    <r>
      <rPr>
        <sz val="11"/>
        <rFont val="Candara"/>
        <family val="1"/>
      </rPr>
      <t xml:space="preserve">4 Switch + 1 Socket + USB
</t>
    </r>
    <r>
      <rPr>
        <sz val="11"/>
        <rFont val="Candara"/>
        <family val="1"/>
      </rPr>
      <t>/ C Charging port</t>
    </r>
  </si>
  <si>
    <r>
      <rPr>
        <sz val="11"/>
        <rFont val="Candara"/>
        <family val="1"/>
      </rPr>
      <t>4M</t>
    </r>
  </si>
  <si>
    <r>
      <rPr>
        <sz val="11"/>
        <rFont val="Candara"/>
        <family val="1"/>
      </rPr>
      <t>NUE 4</t>
    </r>
  </si>
  <si>
    <r>
      <rPr>
        <sz val="11"/>
        <rFont val="Candara"/>
        <family val="1"/>
      </rPr>
      <t>NUE-N4XXX-BG-WF</t>
    </r>
  </si>
  <si>
    <r>
      <rPr>
        <sz val="11"/>
        <rFont val="Candara"/>
        <family val="1"/>
      </rPr>
      <t>8 Switch Panel</t>
    </r>
  </si>
  <si>
    <r>
      <rPr>
        <sz val="11"/>
        <rFont val="Candara"/>
        <family val="1"/>
      </rPr>
      <t>NUE 4F</t>
    </r>
  </si>
  <si>
    <r>
      <rPr>
        <sz val="11"/>
        <rFont val="Candara"/>
        <family val="1"/>
      </rPr>
      <t>NUE-N4FXX-BG-WF</t>
    </r>
  </si>
  <si>
    <r>
      <rPr>
        <sz val="11"/>
        <rFont val="Candara"/>
        <family val="1"/>
      </rPr>
      <t>6 Switch + 1 Fan Panel</t>
    </r>
  </si>
  <si>
    <r>
      <rPr>
        <sz val="11"/>
        <rFont val="Candara"/>
        <family val="1"/>
      </rPr>
      <t>NUE 4PF</t>
    </r>
  </si>
  <si>
    <r>
      <rPr>
        <sz val="11"/>
        <rFont val="Candara"/>
        <family val="1"/>
      </rPr>
      <t>NUE-N4PFX-BG-WF</t>
    </r>
  </si>
  <si>
    <t xml:space="preserve">2 Switch + 1 Fan + 1 Multi Socket + USB / C charging port </t>
  </si>
  <si>
    <r>
      <rPr>
        <sz val="11"/>
        <rFont val="Candara"/>
        <family val="1"/>
      </rPr>
      <t>NUE 6FD</t>
    </r>
  </si>
  <si>
    <t>NUE-N6FDX-BG-WF</t>
  </si>
  <si>
    <r>
      <rPr>
        <sz val="11"/>
        <rFont val="Candara"/>
        <family val="1"/>
      </rPr>
      <t>6 switch+1 Dimmer + 1Fan</t>
    </r>
  </si>
  <si>
    <r>
      <rPr>
        <sz val="11"/>
        <rFont val="Candara"/>
        <family val="1"/>
      </rPr>
      <t>6/8M</t>
    </r>
  </si>
  <si>
    <t>NUE 6S</t>
  </si>
  <si>
    <r>
      <rPr>
        <sz val="11"/>
        <rFont val="Candara"/>
        <family val="1"/>
      </rPr>
      <t>NUE-N6SXX-BG-WF</t>
    </r>
  </si>
  <si>
    <r>
      <rPr>
        <sz val="11"/>
        <rFont val="Candara"/>
        <family val="1"/>
      </rPr>
      <t>10 switch</t>
    </r>
  </si>
  <si>
    <r>
      <rPr>
        <sz val="11"/>
        <rFont val="Candara"/>
        <family val="1"/>
      </rPr>
      <t>NUE 6P</t>
    </r>
  </si>
  <si>
    <r>
      <rPr>
        <sz val="11"/>
        <rFont val="Candara"/>
        <family val="1"/>
      </rPr>
      <t>NUE-N6PXX-BG-WF</t>
    </r>
  </si>
  <si>
    <r>
      <rPr>
        <sz val="11"/>
        <rFont val="Candara"/>
        <family val="1"/>
      </rPr>
      <t>8 Switch + 1 Multi socket</t>
    </r>
  </si>
  <si>
    <r>
      <rPr>
        <sz val="11"/>
        <rFont val="Candara"/>
        <family val="1"/>
      </rPr>
      <t>NUE 6PF</t>
    </r>
  </si>
  <si>
    <r>
      <rPr>
        <sz val="11"/>
        <rFont val="Candara"/>
        <family val="1"/>
      </rPr>
      <t>NUE-N6PFX-BG-WF</t>
    </r>
  </si>
  <si>
    <r>
      <rPr>
        <sz val="11"/>
        <rFont val="Candara"/>
        <family val="1"/>
      </rPr>
      <t>6 Switch+1Fan + 1 Multi socket</t>
    </r>
  </si>
  <si>
    <r>
      <rPr>
        <sz val="11"/>
        <rFont val="Candara"/>
        <family val="1"/>
      </rPr>
      <t>NUE 8FDP</t>
    </r>
  </si>
  <si>
    <r>
      <rPr>
        <sz val="11"/>
        <rFont val="Candara"/>
        <family val="1"/>
      </rPr>
      <t>NUE-N8FDP-BG-WF</t>
    </r>
  </si>
  <si>
    <r>
      <rPr>
        <sz val="11"/>
        <rFont val="Candara"/>
        <family val="1"/>
      </rPr>
      <t xml:space="preserve">6 switch+1 Dimmer + 1Fan
</t>
    </r>
    <r>
      <rPr>
        <sz val="11"/>
        <rFont val="Candara"/>
        <family val="1"/>
      </rPr>
      <t>+ 1 Sock</t>
    </r>
  </si>
  <si>
    <r>
      <rPr>
        <sz val="11"/>
        <rFont val="Candara"/>
        <family val="1"/>
      </rPr>
      <t>8M</t>
    </r>
  </si>
  <si>
    <r>
      <rPr>
        <sz val="11"/>
        <rFont val="Candara"/>
        <family val="1"/>
      </rPr>
      <t>NUE 8P</t>
    </r>
  </si>
  <si>
    <r>
      <rPr>
        <sz val="11"/>
        <rFont val="Candara"/>
        <family val="1"/>
      </rPr>
      <t>NUE-N8PXX-BG-WF</t>
    </r>
  </si>
  <si>
    <r>
      <rPr>
        <sz val="11"/>
        <rFont val="Candara"/>
        <family val="1"/>
      </rPr>
      <t>10 Switch + 1 Multi socket</t>
    </r>
  </si>
  <si>
    <r>
      <rPr>
        <sz val="11"/>
        <rFont val="Candara"/>
        <family val="1"/>
      </rPr>
      <t>NUE 6P2</t>
    </r>
  </si>
  <si>
    <r>
      <rPr>
        <sz val="11"/>
        <rFont val="Candara"/>
        <family val="1"/>
      </rPr>
      <t>NUE-N8P2X-BG-WF</t>
    </r>
  </si>
  <si>
    <r>
      <rPr>
        <sz val="11"/>
        <rFont val="Candara"/>
        <family val="1"/>
      </rPr>
      <t>4 switch+ 2 AC socket</t>
    </r>
  </si>
  <si>
    <r>
      <rPr>
        <sz val="11"/>
        <rFont val="Candara"/>
        <family val="1"/>
      </rPr>
      <t>6M</t>
    </r>
  </si>
  <si>
    <r>
      <rPr>
        <sz val="11"/>
        <rFont val="Candara"/>
        <family val="1"/>
      </rPr>
      <t>NUE 12FP</t>
    </r>
  </si>
  <si>
    <r>
      <rPr>
        <sz val="11"/>
        <rFont val="Candara"/>
        <family val="1"/>
      </rPr>
      <t>NUE-N12FP-BG-WF</t>
    </r>
  </si>
  <si>
    <t>6 switch+1 Dimmer + 1Fan
+ 2 Sock</t>
  </si>
  <si>
    <r>
      <rPr>
        <sz val="11"/>
        <rFont val="Candara"/>
        <family val="1"/>
      </rPr>
      <t>12M</t>
    </r>
  </si>
  <si>
    <t>NUE 12P2</t>
  </si>
  <si>
    <r>
      <rPr>
        <sz val="11"/>
        <rFont val="Candara"/>
        <family val="1"/>
      </rPr>
      <t>NUE-N12P2-BG-WF</t>
    </r>
  </si>
  <si>
    <t>10 switch + 2 Sock</t>
  </si>
  <si>
    <r>
      <rPr>
        <sz val="11"/>
        <rFont val="Candara"/>
        <family val="1"/>
      </rPr>
      <t>NUE Scene Pad</t>
    </r>
  </si>
  <si>
    <r>
      <rPr>
        <sz val="11"/>
        <rFont val="Candara"/>
        <family val="1"/>
      </rPr>
      <t>NUE-NWKXX-GO-WF</t>
    </r>
  </si>
  <si>
    <r>
      <rPr>
        <sz val="11"/>
        <rFont val="Candara"/>
        <family val="1"/>
      </rPr>
      <t>Wireless Wall Keypad</t>
    </r>
  </si>
  <si>
    <r>
      <rPr>
        <sz val="11"/>
        <rFont val="Candara"/>
        <family val="1"/>
      </rPr>
      <t>N</t>
    </r>
  </si>
  <si>
    <t>NEXUS 6P2</t>
  </si>
  <si>
    <t>DO-NE-62K-SA</t>
  </si>
  <si>
    <t>2 Switch + 1 Fan + 1 Multi Socket + USB / C Charging port</t>
  </si>
  <si>
    <t>HINO75</t>
  </si>
  <si>
    <t>LZ-3161</t>
  </si>
  <si>
    <t>EVO G3</t>
  </si>
  <si>
    <t>Llz-3165</t>
  </si>
  <si>
    <t>WATO</t>
  </si>
  <si>
    <t>lz-3147</t>
  </si>
  <si>
    <t>15W/36V Aluminium COB light</t>
  </si>
  <si>
    <t>20w/220v</t>
  </si>
  <si>
    <t>9W/36V Aluminium+Plastic COB light</t>
  </si>
  <si>
    <t>STRIP LIGHT</t>
  </si>
  <si>
    <t>18W/24V DC</t>
  </si>
  <si>
    <t>SMART Driver</t>
  </si>
  <si>
    <t>CV Driver 12-24V 400W</t>
  </si>
  <si>
    <t>Generic LED driver</t>
  </si>
  <si>
    <t>S.No</t>
  </si>
  <si>
    <t>Variant (RF/Wired)</t>
  </si>
  <si>
    <t>DOCH Curtain Track Set 3M</t>
  </si>
  <si>
    <t>DOCH Curtain kit Set 3M</t>
  </si>
  <si>
    <t>Curtain track</t>
  </si>
  <si>
    <t>Curtain remote</t>
  </si>
  <si>
    <t>Curtain motor + Curtain track + Curtain remote</t>
  </si>
  <si>
    <t>SAMI</t>
  </si>
  <si>
    <t>DOCH Wall Panel VDP</t>
  </si>
  <si>
    <t>DOCH Wall Panel VDP Set</t>
  </si>
  <si>
    <t>Gateway+Video Door Phone + Outdoor unit</t>
  </si>
  <si>
    <t>IP</t>
  </si>
  <si>
    <t>a0 Touch +  1 AC Socket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</si>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</sst>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5">
    <font>
      <sz val="10"/>
      <color rgb="FF000000"/>
      <name val="Times New Roman"/>
      <charset val="204"/>
    </font>
    <font>
      <b/>
      <sz val="7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 MT"/>
      <family val="2"/>
    </font>
    <font>
      <b/>
      <sz val="7.5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 MT"/>
      <family val="2"/>
    </font>
    <font>
      <sz val="7.5"/>
      <color rgb="FF000000"/>
      <name val="Tahoma"/>
      <family val="2"/>
    </font>
    <font>
      <b/>
      <sz val="6"/>
      <name val="Arial"/>
      <family val="2"/>
    </font>
    <font>
      <sz val="7"/>
      <name val="Arial MT"/>
    </font>
    <font>
      <b/>
      <sz val="6.5"/>
      <name val="Arial"/>
      <family val="2"/>
    </font>
    <font>
      <b/>
      <sz val="6.5"/>
      <color rgb="FF000000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b/>
      <sz val="7"/>
      <name val="Arial"/>
      <family val="2"/>
    </font>
    <font>
      <sz val="7"/>
      <name val="Arial MT"/>
      <family val="2"/>
    </font>
    <font>
      <b/>
      <sz val="6.5"/>
      <name val="Arial"/>
      <family val="2"/>
    </font>
    <font>
      <sz val="6.5"/>
      <name val="Arial MT"/>
      <family val="2"/>
    </font>
    <font>
      <b/>
      <sz val="11"/>
      <name val="Segoe UI Semibold"/>
      <family val="2"/>
    </font>
    <font>
      <sz val="11"/>
      <name val="Candara"/>
      <family val="2"/>
    </font>
    <font>
      <sz val="11"/>
      <name val="Candara"/>
      <family val="1"/>
    </font>
    <font>
      <b/>
      <sz val="11"/>
      <color rgb="FF000000"/>
      <name val="Candara"/>
      <family val="2"/>
    </font>
    <font>
      <sz val="10"/>
      <color rgb="FF000000"/>
      <name val="Times New Roman"/>
      <family val="1"/>
    </font>
    <font>
      <sz val="11"/>
      <name val="Quattrocento Sans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 indent="1"/>
    </xf>
    <xf numFmtId="3" fontId="6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top" shrinkToFit="1"/>
    </xf>
    <xf numFmtId="3" fontId="6" fillId="0" borderId="1" xfId="0" applyNumberFormat="1" applyFont="1" applyBorder="1" applyAlignment="1">
      <alignment horizontal="center" vertical="top" shrinkToFit="1"/>
    </xf>
    <xf numFmtId="0" fontId="14" fillId="2" borderId="1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 indent="2"/>
    </xf>
    <xf numFmtId="0" fontId="10" fillId="2" borderId="1" xfId="0" applyFont="1" applyFill="1" applyBorder="1" applyAlignment="1">
      <alignment horizontal="left" vertical="top" wrapText="1" indent="1"/>
    </xf>
    <xf numFmtId="0" fontId="10" fillId="2" borderId="1" xfId="0" applyFont="1" applyFill="1" applyBorder="1" applyAlignment="1">
      <alignment horizontal="left" vertical="top" wrapText="1" indent="2"/>
    </xf>
    <xf numFmtId="0" fontId="10" fillId="2" borderId="1" xfId="0" applyFont="1" applyFill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 indent="1"/>
    </xf>
    <xf numFmtId="0" fontId="18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/>
    </xf>
    <xf numFmtId="41" fontId="23" fillId="0" borderId="1" xfId="0" applyNumberFormat="1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jpeg"/><Relationship Id="rId3" Type="http://schemas.openxmlformats.org/officeDocument/2006/relationships/image" Target="../media/image25.png"/><Relationship Id="rId7" Type="http://schemas.openxmlformats.org/officeDocument/2006/relationships/image" Target="../media/image29.jpeg"/><Relationship Id="rId12" Type="http://schemas.openxmlformats.org/officeDocument/2006/relationships/image" Target="../media/image34.jpe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jpeg"/><Relationship Id="rId11" Type="http://schemas.openxmlformats.org/officeDocument/2006/relationships/image" Target="../media/image33.png"/><Relationship Id="rId5" Type="http://schemas.openxmlformats.org/officeDocument/2006/relationships/image" Target="../media/image27.jpeg"/><Relationship Id="rId15" Type="http://schemas.openxmlformats.org/officeDocument/2006/relationships/image" Target="../media/image37.jpeg"/><Relationship Id="rId10" Type="http://schemas.openxmlformats.org/officeDocument/2006/relationships/image" Target="../media/image32.png"/><Relationship Id="rId4" Type="http://schemas.openxmlformats.org/officeDocument/2006/relationships/image" Target="../media/image26.jpe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9.jpeg"/><Relationship Id="rId1" Type="http://schemas.openxmlformats.org/officeDocument/2006/relationships/image" Target="../media/image38.png"/><Relationship Id="rId6" Type="http://schemas.openxmlformats.org/officeDocument/2006/relationships/image" Target="../media/image11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jpeg"/><Relationship Id="rId13" Type="http://schemas.openxmlformats.org/officeDocument/2006/relationships/image" Target="../media/image57.png"/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12" Type="http://schemas.openxmlformats.org/officeDocument/2006/relationships/image" Target="../media/image56.jpeg"/><Relationship Id="rId2" Type="http://schemas.openxmlformats.org/officeDocument/2006/relationships/image" Target="../media/image46.jpeg"/><Relationship Id="rId1" Type="http://schemas.openxmlformats.org/officeDocument/2006/relationships/image" Target="../media/image45.jpe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10" Type="http://schemas.openxmlformats.org/officeDocument/2006/relationships/image" Target="../media/image54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jpeg"/><Relationship Id="rId13" Type="http://schemas.openxmlformats.org/officeDocument/2006/relationships/image" Target="../media/image72.png"/><Relationship Id="rId18" Type="http://schemas.openxmlformats.org/officeDocument/2006/relationships/image" Target="../media/image77.jpeg"/><Relationship Id="rId26" Type="http://schemas.openxmlformats.org/officeDocument/2006/relationships/image" Target="../media/image85.png"/><Relationship Id="rId3" Type="http://schemas.openxmlformats.org/officeDocument/2006/relationships/image" Target="../media/image62.png"/><Relationship Id="rId21" Type="http://schemas.openxmlformats.org/officeDocument/2006/relationships/image" Target="../media/image80.png"/><Relationship Id="rId7" Type="http://schemas.openxmlformats.org/officeDocument/2006/relationships/image" Target="../media/image66.jpeg"/><Relationship Id="rId12" Type="http://schemas.openxmlformats.org/officeDocument/2006/relationships/image" Target="../media/image71.png"/><Relationship Id="rId17" Type="http://schemas.openxmlformats.org/officeDocument/2006/relationships/image" Target="../media/image76.png"/><Relationship Id="rId25" Type="http://schemas.openxmlformats.org/officeDocument/2006/relationships/image" Target="../media/image84.png"/><Relationship Id="rId2" Type="http://schemas.openxmlformats.org/officeDocument/2006/relationships/image" Target="../media/image61.jpeg"/><Relationship Id="rId16" Type="http://schemas.openxmlformats.org/officeDocument/2006/relationships/image" Target="../media/image75.png"/><Relationship Id="rId20" Type="http://schemas.openxmlformats.org/officeDocument/2006/relationships/image" Target="../media/image79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11" Type="http://schemas.openxmlformats.org/officeDocument/2006/relationships/image" Target="../media/image70.png"/><Relationship Id="rId24" Type="http://schemas.openxmlformats.org/officeDocument/2006/relationships/image" Target="../media/image83.png"/><Relationship Id="rId5" Type="http://schemas.openxmlformats.org/officeDocument/2006/relationships/image" Target="../media/image64.jpeg"/><Relationship Id="rId15" Type="http://schemas.openxmlformats.org/officeDocument/2006/relationships/image" Target="../media/image74.png"/><Relationship Id="rId23" Type="http://schemas.openxmlformats.org/officeDocument/2006/relationships/image" Target="../media/image82.png"/><Relationship Id="rId10" Type="http://schemas.openxmlformats.org/officeDocument/2006/relationships/image" Target="../media/image69.jpeg"/><Relationship Id="rId19" Type="http://schemas.openxmlformats.org/officeDocument/2006/relationships/image" Target="../media/image78.png"/><Relationship Id="rId4" Type="http://schemas.openxmlformats.org/officeDocument/2006/relationships/image" Target="../media/image63.png"/><Relationship Id="rId9" Type="http://schemas.openxmlformats.org/officeDocument/2006/relationships/image" Target="../media/image68.png"/><Relationship Id="rId14" Type="http://schemas.openxmlformats.org/officeDocument/2006/relationships/image" Target="../media/image73.png"/><Relationship Id="rId22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242133</xdr:colOff>
      <xdr:row>1</xdr:row>
      <xdr:rowOff>94168</xdr:rowOff>
    </xdr:from>
    <xdr:ext cx="649647" cy="439436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9647" cy="439436"/>
        </a:xfrm>
        <a:prstGeom prst="rect">
          <a:avLst/>
        </a:prstGeom>
      </xdr:spPr>
    </xdr:pic>
    <xdr:clientData/>
  </xdr:oneCellAnchor>
  <xdr:oneCellAnchor>
    <xdr:from>
      <xdr:col>1</xdr:col>
      <xdr:colOff>381150</xdr:colOff>
      <xdr:row>4</xdr:row>
      <xdr:rowOff>76262</xdr:rowOff>
    </xdr:from>
    <xdr:ext cx="371615" cy="457372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615" cy="457372"/>
        </a:xfrm>
        <a:prstGeom prst="rect">
          <a:avLst/>
        </a:prstGeom>
      </xdr:spPr>
    </xdr:pic>
    <xdr:clientData/>
  </xdr:oneCellAnchor>
  <xdr:oneCellAnchor>
    <xdr:from>
      <xdr:col>1</xdr:col>
      <xdr:colOff>381150</xdr:colOff>
      <xdr:row>5</xdr:row>
      <xdr:rowOff>76273</xdr:rowOff>
    </xdr:from>
    <xdr:ext cx="371615" cy="457372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615" cy="457372"/>
        </a:xfrm>
        <a:prstGeom prst="rect">
          <a:avLst/>
        </a:prstGeom>
      </xdr:spPr>
    </xdr:pic>
    <xdr:clientData/>
  </xdr:oneCellAnchor>
  <xdr:oneCellAnchor>
    <xdr:from>
      <xdr:col>1</xdr:col>
      <xdr:colOff>333507</xdr:colOff>
      <xdr:row>6</xdr:row>
      <xdr:rowOff>76283</xdr:rowOff>
    </xdr:from>
    <xdr:ext cx="466900" cy="457372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6900" cy="457372"/>
        </a:xfrm>
        <a:prstGeom prst="rect">
          <a:avLst/>
        </a:prstGeom>
      </xdr:spPr>
    </xdr:pic>
    <xdr:clientData/>
  </xdr:oneCellAnchor>
  <xdr:oneCellAnchor>
    <xdr:from>
      <xdr:col>1</xdr:col>
      <xdr:colOff>145524</xdr:colOff>
      <xdr:row>2</xdr:row>
      <xdr:rowOff>47922</xdr:rowOff>
    </xdr:from>
    <xdr:ext cx="819458" cy="552658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458" cy="552658"/>
        </a:xfrm>
        <a:prstGeom prst="rect">
          <a:avLst/>
        </a:prstGeom>
      </xdr:spPr>
    </xdr:pic>
    <xdr:clientData/>
  </xdr:oneCellAnchor>
  <xdr:oneCellAnchor>
    <xdr:from>
      <xdr:col>1</xdr:col>
      <xdr:colOff>254094</xdr:colOff>
      <xdr:row>3</xdr:row>
      <xdr:rowOff>113162</xdr:rowOff>
    </xdr:from>
    <xdr:ext cx="600301" cy="381143"/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301" cy="381143"/>
        </a:xfrm>
        <a:prstGeom prst="rect">
          <a:avLst/>
        </a:prstGeom>
      </xdr:spPr>
    </xdr:pic>
    <xdr:clientData/>
  </xdr:oneCellAnchor>
  <xdr:oneCellAnchor>
    <xdr:from>
      <xdr:col>1</xdr:col>
      <xdr:colOff>321733</xdr:colOff>
      <xdr:row>7</xdr:row>
      <xdr:rowOff>93134</xdr:rowOff>
    </xdr:from>
    <xdr:ext cx="485958" cy="476429"/>
    <xdr:pic>
      <xdr:nvPicPr>
        <xdr:cNvPr id="16" name="image8.png">
          <a:extLst>
            <a:ext uri="{FF2B5EF4-FFF2-40B4-BE49-F238E27FC236}">
              <a16:creationId xmlns:a16="http://schemas.microsoft.com/office/drawing/2014/main" id="{6D548FC6-E9E8-41B2-972E-77D475AE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4360334"/>
          <a:ext cx="485958" cy="476429"/>
        </a:xfrm>
        <a:prstGeom prst="rect">
          <a:avLst/>
        </a:prstGeom>
      </xdr:spPr>
    </xdr:pic>
    <xdr:clientData/>
  </xdr:oneCellAnchor>
  <xdr:oneCellAnchor>
    <xdr:from>
      <xdr:col>1</xdr:col>
      <xdr:colOff>252306</xdr:colOff>
      <xdr:row>8</xdr:row>
      <xdr:rowOff>30339</xdr:rowOff>
    </xdr:from>
    <xdr:ext cx="616374" cy="561040"/>
    <xdr:pic>
      <xdr:nvPicPr>
        <xdr:cNvPr id="18" name="image9.png">
          <a:extLst>
            <a:ext uri="{FF2B5EF4-FFF2-40B4-BE49-F238E27FC236}">
              <a16:creationId xmlns:a16="http://schemas.microsoft.com/office/drawing/2014/main" id="{3F537050-7BE8-0389-61BE-DAA9E8B0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86" y="4929999"/>
          <a:ext cx="616374" cy="561040"/>
        </a:xfrm>
        <a:prstGeom prst="rect">
          <a:avLst/>
        </a:prstGeom>
      </xdr:spPr>
    </xdr:pic>
    <xdr:clientData/>
  </xdr:oneCellAnchor>
  <xdr:twoCellAnchor>
    <xdr:from>
      <xdr:col>1</xdr:col>
      <xdr:colOff>223520</xdr:colOff>
      <xdr:row>9</xdr:row>
      <xdr:rowOff>21321</xdr:rowOff>
    </xdr:from>
    <xdr:to>
      <xdr:col>1</xdr:col>
      <xdr:colOff>868680</xdr:colOff>
      <xdr:row>9</xdr:row>
      <xdr:rowOff>571501</xdr:rowOff>
    </xdr:to>
    <xdr:pic>
      <xdr:nvPicPr>
        <xdr:cNvPr id="20" name="image10.png">
          <a:extLst>
            <a:ext uri="{FF2B5EF4-FFF2-40B4-BE49-F238E27FC236}">
              <a16:creationId xmlns:a16="http://schemas.microsoft.com/office/drawing/2014/main" id="{B622733B-1348-474A-9DAF-EF92376C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200" y="5553441"/>
          <a:ext cx="645160" cy="550180"/>
        </a:xfrm>
        <a:prstGeom prst="rect">
          <a:avLst/>
        </a:prstGeom>
      </xdr:spPr>
    </xdr:pic>
    <xdr:clientData/>
  </xdr:twoCellAnchor>
  <xdr:oneCellAnchor>
    <xdr:from>
      <xdr:col>1</xdr:col>
      <xdr:colOff>200660</xdr:colOff>
      <xdr:row>10</xdr:row>
      <xdr:rowOff>105833</xdr:rowOff>
    </xdr:from>
    <xdr:ext cx="705115" cy="466900"/>
    <xdr:pic>
      <xdr:nvPicPr>
        <xdr:cNvPr id="21" name="image11.jpeg">
          <a:extLst>
            <a:ext uri="{FF2B5EF4-FFF2-40B4-BE49-F238E27FC236}">
              <a16:creationId xmlns:a16="http://schemas.microsoft.com/office/drawing/2014/main" id="{5B575CE0-BD09-4218-92C8-57F79038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40" y="6270413"/>
          <a:ext cx="705115" cy="466900"/>
        </a:xfrm>
        <a:prstGeom prst="rect">
          <a:avLst/>
        </a:prstGeom>
      </xdr:spPr>
    </xdr:pic>
    <xdr:clientData/>
  </xdr:oneCellAnchor>
  <xdr:oneCellAnchor>
    <xdr:from>
      <xdr:col>1</xdr:col>
      <xdr:colOff>222423</xdr:colOff>
      <xdr:row>11</xdr:row>
      <xdr:rowOff>121945</xdr:rowOff>
    </xdr:from>
    <xdr:ext cx="676529" cy="439781"/>
    <xdr:pic>
      <xdr:nvPicPr>
        <xdr:cNvPr id="22" name="image12.jpeg">
          <a:extLst>
            <a:ext uri="{FF2B5EF4-FFF2-40B4-BE49-F238E27FC236}">
              <a16:creationId xmlns:a16="http://schemas.microsoft.com/office/drawing/2014/main" id="{5B2CAB58-0CD4-4608-BA14-61A18077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103" y="6918985"/>
          <a:ext cx="676529" cy="439781"/>
        </a:xfrm>
        <a:prstGeom prst="rect">
          <a:avLst/>
        </a:prstGeom>
      </xdr:spPr>
    </xdr:pic>
    <xdr:clientData/>
  </xdr:oneCellAnchor>
  <xdr:oneCellAnchor>
    <xdr:from>
      <xdr:col>1</xdr:col>
      <xdr:colOff>151246</xdr:colOff>
      <xdr:row>13</xdr:row>
      <xdr:rowOff>152620</xdr:rowOff>
    </xdr:from>
    <xdr:ext cx="838515" cy="390672"/>
    <xdr:pic>
      <xdr:nvPicPr>
        <xdr:cNvPr id="24" name="image14.png">
          <a:extLst>
            <a:ext uri="{FF2B5EF4-FFF2-40B4-BE49-F238E27FC236}">
              <a16:creationId xmlns:a16="http://schemas.microsoft.com/office/drawing/2014/main" id="{03D31591-621A-4E4F-8F8E-3EAE4B5D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26" y="8374600"/>
          <a:ext cx="838515" cy="390672"/>
        </a:xfrm>
        <a:prstGeom prst="rect">
          <a:avLst/>
        </a:prstGeom>
      </xdr:spPr>
    </xdr:pic>
    <xdr:clientData/>
  </xdr:oneCellAnchor>
  <xdr:oneCellAnchor>
    <xdr:from>
      <xdr:col>1</xdr:col>
      <xdr:colOff>174106</xdr:colOff>
      <xdr:row>15</xdr:row>
      <xdr:rowOff>151110</xdr:rowOff>
    </xdr:from>
    <xdr:ext cx="838515" cy="400200"/>
    <xdr:pic>
      <xdr:nvPicPr>
        <xdr:cNvPr id="26" name="image16.jpeg">
          <a:extLst>
            <a:ext uri="{FF2B5EF4-FFF2-40B4-BE49-F238E27FC236}">
              <a16:creationId xmlns:a16="http://schemas.microsoft.com/office/drawing/2014/main" id="{CE3020D6-671C-49C5-84D2-9018730F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786" y="9698970"/>
          <a:ext cx="838515" cy="400200"/>
        </a:xfrm>
        <a:prstGeom prst="rect">
          <a:avLst/>
        </a:prstGeom>
      </xdr:spPr>
    </xdr:pic>
    <xdr:clientData/>
  </xdr:oneCellAnchor>
  <xdr:oneCellAnchor>
    <xdr:from>
      <xdr:col>1</xdr:col>
      <xdr:colOff>370082</xdr:colOff>
      <xdr:row>16</xdr:row>
      <xdr:rowOff>24258</xdr:rowOff>
    </xdr:from>
    <xdr:ext cx="490978" cy="490978"/>
    <xdr:pic>
      <xdr:nvPicPr>
        <xdr:cNvPr id="27" name="image17.jpeg">
          <a:extLst>
            <a:ext uri="{FF2B5EF4-FFF2-40B4-BE49-F238E27FC236}">
              <a16:creationId xmlns:a16="http://schemas.microsoft.com/office/drawing/2014/main" id="{29DD93A4-6AE5-4AC8-A425-475FAC8BC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762" y="10235058"/>
          <a:ext cx="490978" cy="490978"/>
        </a:xfrm>
        <a:prstGeom prst="rect">
          <a:avLst/>
        </a:prstGeom>
      </xdr:spPr>
    </xdr:pic>
    <xdr:clientData/>
  </xdr:oneCellAnchor>
  <xdr:oneCellAnchor>
    <xdr:from>
      <xdr:col>1</xdr:col>
      <xdr:colOff>155154</xdr:colOff>
      <xdr:row>17</xdr:row>
      <xdr:rowOff>81361</xdr:rowOff>
    </xdr:from>
    <xdr:ext cx="879166" cy="404413"/>
    <xdr:pic>
      <xdr:nvPicPr>
        <xdr:cNvPr id="28" name="image18.jpeg">
          <a:extLst>
            <a:ext uri="{FF2B5EF4-FFF2-40B4-BE49-F238E27FC236}">
              <a16:creationId xmlns:a16="http://schemas.microsoft.com/office/drawing/2014/main" id="{E1879EA1-ECAE-488E-B75F-263E2B0C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34" y="10810321"/>
          <a:ext cx="879166" cy="404413"/>
        </a:xfrm>
        <a:prstGeom prst="rect">
          <a:avLst/>
        </a:prstGeom>
      </xdr:spPr>
    </xdr:pic>
    <xdr:clientData/>
  </xdr:oneCellAnchor>
  <xdr:twoCellAnchor editAs="oneCell">
    <xdr:from>
      <xdr:col>1</xdr:col>
      <xdr:colOff>22860</xdr:colOff>
      <xdr:row>12</xdr:row>
      <xdr:rowOff>129540</xdr:rowOff>
    </xdr:from>
    <xdr:to>
      <xdr:col>1</xdr:col>
      <xdr:colOff>1179011</xdr:colOff>
      <xdr:row>12</xdr:row>
      <xdr:rowOff>617291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2969D-B325-74CE-6C7B-9AAFEA83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0540" y="7635240"/>
          <a:ext cx="1156151" cy="487751"/>
        </a:xfrm>
        <a:prstGeom prst="rect">
          <a:avLst/>
        </a:prstGeom>
      </xdr:spPr>
    </xdr:pic>
    <xdr:clientData/>
  </xdr:twoCellAnchor>
  <xdr:twoCellAnchor editAs="oneCell">
    <xdr:from>
      <xdr:col>1</xdr:col>
      <xdr:colOff>59806</xdr:colOff>
      <xdr:row>14</xdr:row>
      <xdr:rowOff>60959</xdr:rowOff>
    </xdr:from>
    <xdr:to>
      <xdr:col>1</xdr:col>
      <xdr:colOff>1147378</xdr:colOff>
      <xdr:row>14</xdr:row>
      <xdr:rowOff>543116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A4DD85-BF5D-375F-1580-6AAADCC82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7486" y="8999219"/>
          <a:ext cx="1087572" cy="4821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1</xdr:row>
      <xdr:rowOff>7620</xdr:rowOff>
    </xdr:from>
    <xdr:ext cx="617220" cy="586740"/>
    <xdr:pic>
      <xdr:nvPicPr>
        <xdr:cNvPr id="2" name="image1.png">
          <a:extLst>
            <a:ext uri="{FF2B5EF4-FFF2-40B4-BE49-F238E27FC236}">
              <a16:creationId xmlns:a16="http://schemas.microsoft.com/office/drawing/2014/main" id="{EF75BD65-A1D4-4C52-B1C5-C0E6230079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0" y="373380"/>
          <a:ext cx="617220" cy="58674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411481</xdr:colOff>
      <xdr:row>2</xdr:row>
      <xdr:rowOff>22860</xdr:rowOff>
    </xdr:from>
    <xdr:ext cx="510539" cy="518160"/>
    <xdr:pic>
      <xdr:nvPicPr>
        <xdr:cNvPr id="3" name="image2.jpg">
          <a:extLst>
            <a:ext uri="{FF2B5EF4-FFF2-40B4-BE49-F238E27FC236}">
              <a16:creationId xmlns:a16="http://schemas.microsoft.com/office/drawing/2014/main" id="{6AE4A14D-5217-4B9B-A774-E90751703ED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1081" y="1021080"/>
          <a:ext cx="510539" cy="51816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312420</xdr:colOff>
      <xdr:row>3</xdr:row>
      <xdr:rowOff>91440</xdr:rowOff>
    </xdr:from>
    <xdr:ext cx="590550" cy="485775"/>
    <xdr:pic>
      <xdr:nvPicPr>
        <xdr:cNvPr id="4" name="image3.png">
          <a:extLst>
            <a:ext uri="{FF2B5EF4-FFF2-40B4-BE49-F238E27FC236}">
              <a16:creationId xmlns:a16="http://schemas.microsoft.com/office/drawing/2014/main" id="{EB8CFD7E-CD12-48EA-BF4F-BCB75515A00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2020" y="1661160"/>
          <a:ext cx="5905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220981</xdr:colOff>
      <xdr:row>4</xdr:row>
      <xdr:rowOff>38100</xdr:rowOff>
    </xdr:from>
    <xdr:ext cx="762000" cy="523875"/>
    <xdr:pic>
      <xdr:nvPicPr>
        <xdr:cNvPr id="5" name="image4.png">
          <a:extLst>
            <a:ext uri="{FF2B5EF4-FFF2-40B4-BE49-F238E27FC236}">
              <a16:creationId xmlns:a16="http://schemas.microsoft.com/office/drawing/2014/main" id="{82D22DFE-5CC5-4E27-982E-657F76F6EB3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0581" y="2301240"/>
          <a:ext cx="7620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251460</xdr:colOff>
      <xdr:row>5</xdr:row>
      <xdr:rowOff>190500</xdr:rowOff>
    </xdr:from>
    <xdr:ext cx="619125" cy="257175"/>
    <xdr:pic>
      <xdr:nvPicPr>
        <xdr:cNvPr id="6" name="image6.png">
          <a:extLst>
            <a:ext uri="{FF2B5EF4-FFF2-40B4-BE49-F238E27FC236}">
              <a16:creationId xmlns:a16="http://schemas.microsoft.com/office/drawing/2014/main" id="{3D1A60E9-16CC-489C-8BEE-C1DA26D0062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1060" y="3086100"/>
          <a:ext cx="6191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335280</xdr:colOff>
      <xdr:row>6</xdr:row>
      <xdr:rowOff>144780</xdr:rowOff>
    </xdr:from>
    <xdr:ext cx="476250" cy="342900"/>
    <xdr:pic>
      <xdr:nvPicPr>
        <xdr:cNvPr id="7" name="image7.png">
          <a:extLst>
            <a:ext uri="{FF2B5EF4-FFF2-40B4-BE49-F238E27FC236}">
              <a16:creationId xmlns:a16="http://schemas.microsoft.com/office/drawing/2014/main" id="{F07ACDE0-8DAE-46D0-A91D-DB431CB4540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4880" y="3672840"/>
          <a:ext cx="47625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</xdr:colOff>
      <xdr:row>1</xdr:row>
      <xdr:rowOff>14828</xdr:rowOff>
    </xdr:from>
    <xdr:ext cx="992263" cy="557415"/>
    <xdr:pic>
      <xdr:nvPicPr>
        <xdr:cNvPr id="2" name="image1.png">
          <a:extLst>
            <a:ext uri="{FF2B5EF4-FFF2-40B4-BE49-F238E27FC236}">
              <a16:creationId xmlns:a16="http://schemas.microsoft.com/office/drawing/2014/main" id="{93566F58-FDA7-47D3-9864-752662EE0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228188"/>
          <a:ext cx="992263" cy="557415"/>
        </a:xfrm>
        <a:prstGeom prst="rect">
          <a:avLst/>
        </a:prstGeom>
      </xdr:spPr>
    </xdr:pic>
    <xdr:clientData/>
  </xdr:oneCellAnchor>
  <xdr:oneCellAnchor>
    <xdr:from>
      <xdr:col>1</xdr:col>
      <xdr:colOff>127041</xdr:colOff>
      <xdr:row>3</xdr:row>
      <xdr:rowOff>30480</xdr:rowOff>
    </xdr:from>
    <xdr:ext cx="932140" cy="579120"/>
    <xdr:pic>
      <xdr:nvPicPr>
        <xdr:cNvPr id="3" name="image2.png">
          <a:extLst>
            <a:ext uri="{FF2B5EF4-FFF2-40B4-BE49-F238E27FC236}">
              <a16:creationId xmlns:a16="http://schemas.microsoft.com/office/drawing/2014/main" id="{057260B4-B774-4BC4-841D-9AFCA53AD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41" y="1927860"/>
          <a:ext cx="932140" cy="579120"/>
        </a:xfrm>
        <a:prstGeom prst="rect">
          <a:avLst/>
        </a:prstGeom>
      </xdr:spPr>
    </xdr:pic>
    <xdr:clientData/>
  </xdr:oneCellAnchor>
  <xdr:oneCellAnchor>
    <xdr:from>
      <xdr:col>1</xdr:col>
      <xdr:colOff>99060</xdr:colOff>
      <xdr:row>7</xdr:row>
      <xdr:rowOff>74256</xdr:rowOff>
    </xdr:from>
    <xdr:ext cx="948745" cy="466764"/>
    <xdr:pic>
      <xdr:nvPicPr>
        <xdr:cNvPr id="4" name="image3.png">
          <a:extLst>
            <a:ext uri="{FF2B5EF4-FFF2-40B4-BE49-F238E27FC236}">
              <a16:creationId xmlns:a16="http://schemas.microsoft.com/office/drawing/2014/main" id="{1BD75C88-7B0E-4A03-9B2A-53A4DAD2F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4501476"/>
          <a:ext cx="948745" cy="466764"/>
        </a:xfrm>
        <a:prstGeom prst="rect">
          <a:avLst/>
        </a:prstGeom>
      </xdr:spPr>
    </xdr:pic>
    <xdr:clientData/>
  </xdr:oneCellAnchor>
  <xdr:oneCellAnchor>
    <xdr:from>
      <xdr:col>1</xdr:col>
      <xdr:colOff>289919</xdr:colOff>
      <xdr:row>2</xdr:row>
      <xdr:rowOff>197465</xdr:rowOff>
    </xdr:from>
    <xdr:ext cx="471093" cy="426758"/>
    <xdr:pic>
      <xdr:nvPicPr>
        <xdr:cNvPr id="5" name="image4.jpeg">
          <a:extLst>
            <a:ext uri="{FF2B5EF4-FFF2-40B4-BE49-F238E27FC236}">
              <a16:creationId xmlns:a16="http://schemas.microsoft.com/office/drawing/2014/main" id="{1D544AA6-80EF-4C8C-B53E-85699546B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19" y="959465"/>
          <a:ext cx="471093" cy="426758"/>
        </a:xfrm>
        <a:prstGeom prst="rect">
          <a:avLst/>
        </a:prstGeom>
      </xdr:spPr>
    </xdr:pic>
    <xdr:clientData/>
  </xdr:oneCellAnchor>
  <xdr:oneCellAnchor>
    <xdr:from>
      <xdr:col>1</xdr:col>
      <xdr:colOff>83819</xdr:colOff>
      <xdr:row>4</xdr:row>
      <xdr:rowOff>45347</xdr:rowOff>
    </xdr:from>
    <xdr:ext cx="798913" cy="456175"/>
    <xdr:pic>
      <xdr:nvPicPr>
        <xdr:cNvPr id="6" name="image5.jpeg">
          <a:extLst>
            <a:ext uri="{FF2B5EF4-FFF2-40B4-BE49-F238E27FC236}">
              <a16:creationId xmlns:a16="http://schemas.microsoft.com/office/drawing/2014/main" id="{2B1DF49B-067E-4B95-B997-73C7BDA1E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19" y="2445647"/>
          <a:ext cx="798913" cy="456175"/>
        </a:xfrm>
        <a:prstGeom prst="rect">
          <a:avLst/>
        </a:prstGeom>
      </xdr:spPr>
    </xdr:pic>
    <xdr:clientData/>
  </xdr:oneCellAnchor>
  <xdr:oneCellAnchor>
    <xdr:from>
      <xdr:col>1</xdr:col>
      <xdr:colOff>106680</xdr:colOff>
      <xdr:row>5</xdr:row>
      <xdr:rowOff>51786</xdr:rowOff>
    </xdr:from>
    <xdr:ext cx="796365" cy="457138"/>
    <xdr:pic>
      <xdr:nvPicPr>
        <xdr:cNvPr id="7" name="image6.jpeg">
          <a:extLst>
            <a:ext uri="{FF2B5EF4-FFF2-40B4-BE49-F238E27FC236}">
              <a16:creationId xmlns:a16="http://schemas.microsoft.com/office/drawing/2014/main" id="{4A17451A-9DD4-4CF0-A9A2-6B09B372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3000726"/>
          <a:ext cx="796365" cy="457138"/>
        </a:xfrm>
        <a:prstGeom prst="rect">
          <a:avLst/>
        </a:prstGeom>
      </xdr:spPr>
    </xdr:pic>
    <xdr:clientData/>
  </xdr:oneCellAnchor>
  <xdr:oneCellAnchor>
    <xdr:from>
      <xdr:col>1</xdr:col>
      <xdr:colOff>170183</xdr:colOff>
      <xdr:row>6</xdr:row>
      <xdr:rowOff>67231</xdr:rowOff>
    </xdr:from>
    <xdr:ext cx="776986" cy="445721"/>
    <xdr:pic>
      <xdr:nvPicPr>
        <xdr:cNvPr id="8" name="image7.jpeg">
          <a:extLst>
            <a:ext uri="{FF2B5EF4-FFF2-40B4-BE49-F238E27FC236}">
              <a16:creationId xmlns:a16="http://schemas.microsoft.com/office/drawing/2014/main" id="{C91904D9-57C3-4C89-854A-DD9258D3A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83" y="3861991"/>
          <a:ext cx="776986" cy="445721"/>
        </a:xfrm>
        <a:prstGeom prst="rect">
          <a:avLst/>
        </a:prstGeom>
      </xdr:spPr>
    </xdr:pic>
    <xdr:clientData/>
  </xdr:oneCellAnchor>
  <xdr:oneCellAnchor>
    <xdr:from>
      <xdr:col>1</xdr:col>
      <xdr:colOff>99060</xdr:colOff>
      <xdr:row>8</xdr:row>
      <xdr:rowOff>87946</xdr:rowOff>
    </xdr:from>
    <xdr:ext cx="975360" cy="422594"/>
    <xdr:pic>
      <xdr:nvPicPr>
        <xdr:cNvPr id="9" name="image9.png">
          <a:extLst>
            <a:ext uri="{FF2B5EF4-FFF2-40B4-BE49-F238E27FC236}">
              <a16:creationId xmlns:a16="http://schemas.microsoft.com/office/drawing/2014/main" id="{E38F0DAC-BDDC-4672-949B-DBD07D9A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5147626"/>
          <a:ext cx="975360" cy="422594"/>
        </a:xfrm>
        <a:prstGeom prst="rect">
          <a:avLst/>
        </a:prstGeom>
      </xdr:spPr>
    </xdr:pic>
    <xdr:clientData/>
  </xdr:oneCellAnchor>
  <xdr:oneCellAnchor>
    <xdr:from>
      <xdr:col>1</xdr:col>
      <xdr:colOff>60960</xdr:colOff>
      <xdr:row>11</xdr:row>
      <xdr:rowOff>94358</xdr:rowOff>
    </xdr:from>
    <xdr:ext cx="942697" cy="439042"/>
    <xdr:pic>
      <xdr:nvPicPr>
        <xdr:cNvPr id="10" name="image10.png">
          <a:extLst>
            <a:ext uri="{FF2B5EF4-FFF2-40B4-BE49-F238E27FC236}">
              <a16:creationId xmlns:a16="http://schemas.microsoft.com/office/drawing/2014/main" id="{900F7AA8-3533-4BBD-85D7-333E4B7F2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7051418"/>
          <a:ext cx="942697" cy="439042"/>
        </a:xfrm>
        <a:prstGeom prst="rect">
          <a:avLst/>
        </a:prstGeom>
      </xdr:spPr>
    </xdr:pic>
    <xdr:clientData/>
  </xdr:oneCellAnchor>
  <xdr:oneCellAnchor>
    <xdr:from>
      <xdr:col>1</xdr:col>
      <xdr:colOff>60960</xdr:colOff>
      <xdr:row>12</xdr:row>
      <xdr:rowOff>93675</xdr:rowOff>
    </xdr:from>
    <xdr:ext cx="958453" cy="401625"/>
    <xdr:pic>
      <xdr:nvPicPr>
        <xdr:cNvPr id="11" name="image11.png">
          <a:extLst>
            <a:ext uri="{FF2B5EF4-FFF2-40B4-BE49-F238E27FC236}">
              <a16:creationId xmlns:a16="http://schemas.microsoft.com/office/drawing/2014/main" id="{A01DFD77-2E31-43E9-B032-8DB570CE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7683195"/>
          <a:ext cx="958453" cy="401625"/>
        </a:xfrm>
        <a:prstGeom prst="rect">
          <a:avLst/>
        </a:prstGeom>
      </xdr:spPr>
    </xdr:pic>
    <xdr:clientData/>
  </xdr:oneCellAnchor>
  <xdr:oneCellAnchor>
    <xdr:from>
      <xdr:col>1</xdr:col>
      <xdr:colOff>7619</xdr:colOff>
      <xdr:row>14</xdr:row>
      <xdr:rowOff>53413</xdr:rowOff>
    </xdr:from>
    <xdr:ext cx="1043941" cy="553726"/>
    <xdr:pic>
      <xdr:nvPicPr>
        <xdr:cNvPr id="12" name="image12.png">
          <a:extLst>
            <a:ext uri="{FF2B5EF4-FFF2-40B4-BE49-F238E27FC236}">
              <a16:creationId xmlns:a16="http://schemas.microsoft.com/office/drawing/2014/main" id="{66A75E6F-E8D6-466C-9DB5-25B43A3D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19" y="8907853"/>
          <a:ext cx="1043941" cy="553726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82438</xdr:rowOff>
    </xdr:from>
    <xdr:ext cx="944880" cy="443342"/>
    <xdr:pic>
      <xdr:nvPicPr>
        <xdr:cNvPr id="13" name="image13.jpeg">
          <a:extLst>
            <a:ext uri="{FF2B5EF4-FFF2-40B4-BE49-F238E27FC236}">
              <a16:creationId xmlns:a16="http://schemas.microsoft.com/office/drawing/2014/main" id="{79A8A2B6-48BA-4156-A646-17CBCF28B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5774578"/>
          <a:ext cx="944880" cy="443342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10</xdr:row>
      <xdr:rowOff>101950</xdr:rowOff>
    </xdr:from>
    <xdr:ext cx="952499" cy="400970"/>
    <xdr:pic>
      <xdr:nvPicPr>
        <xdr:cNvPr id="14" name="image13.jpeg">
          <a:extLst>
            <a:ext uri="{FF2B5EF4-FFF2-40B4-BE49-F238E27FC236}">
              <a16:creationId xmlns:a16="http://schemas.microsoft.com/office/drawing/2014/main" id="{663848B7-6F33-4E9D-BBA1-DFE910846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426550"/>
          <a:ext cx="952499" cy="400970"/>
        </a:xfrm>
        <a:prstGeom prst="rect">
          <a:avLst/>
        </a:prstGeom>
      </xdr:spPr>
    </xdr:pic>
    <xdr:clientData/>
  </xdr:oneCellAnchor>
  <xdr:oneCellAnchor>
    <xdr:from>
      <xdr:col>1</xdr:col>
      <xdr:colOff>60961</xdr:colOff>
      <xdr:row>13</xdr:row>
      <xdr:rowOff>66494</xdr:rowOff>
    </xdr:from>
    <xdr:ext cx="958710" cy="482146"/>
    <xdr:pic>
      <xdr:nvPicPr>
        <xdr:cNvPr id="15" name="image14.jpeg">
          <a:extLst>
            <a:ext uri="{FF2B5EF4-FFF2-40B4-BE49-F238E27FC236}">
              <a16:creationId xmlns:a16="http://schemas.microsoft.com/office/drawing/2014/main" id="{661D788B-8622-418D-B5A8-7D173E09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8288474"/>
          <a:ext cx="958710" cy="482146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15</xdr:row>
      <xdr:rowOff>85307</xdr:rowOff>
    </xdr:from>
    <xdr:ext cx="847455" cy="508870"/>
    <xdr:pic>
      <xdr:nvPicPr>
        <xdr:cNvPr id="16" name="image16.png">
          <a:extLst>
            <a:ext uri="{FF2B5EF4-FFF2-40B4-BE49-F238E27FC236}">
              <a16:creationId xmlns:a16="http://schemas.microsoft.com/office/drawing/2014/main" id="{5CC4306C-3691-476C-B910-7CFAF93F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9572207"/>
          <a:ext cx="847455" cy="508870"/>
        </a:xfrm>
        <a:prstGeom prst="rect">
          <a:avLst/>
        </a:prstGeom>
      </xdr:spPr>
    </xdr:pic>
    <xdr:clientData/>
  </xdr:oneCellAnchor>
  <xdr:oneCellAnchor>
    <xdr:from>
      <xdr:col>1</xdr:col>
      <xdr:colOff>311345</xdr:colOff>
      <xdr:row>16</xdr:row>
      <xdr:rowOff>168383</xdr:rowOff>
    </xdr:from>
    <xdr:ext cx="444931" cy="387096"/>
    <xdr:pic>
      <xdr:nvPicPr>
        <xdr:cNvPr id="21" name="image22.jpeg">
          <a:extLst>
            <a:ext uri="{FF2B5EF4-FFF2-40B4-BE49-F238E27FC236}">
              <a16:creationId xmlns:a16="http://schemas.microsoft.com/office/drawing/2014/main" id="{88A8DDD2-E72A-459F-9B8B-984B0124A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945" y="10287743"/>
          <a:ext cx="444931" cy="387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286262</xdr:colOff>
      <xdr:row>1</xdr:row>
      <xdr:rowOff>40253</xdr:rowOff>
    </xdr:from>
    <xdr:ext cx="552658" cy="543129"/>
    <xdr:pic>
      <xdr:nvPicPr>
        <xdr:cNvPr id="23" name="image19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182" y="672713"/>
          <a:ext cx="552658" cy="543129"/>
        </a:xfrm>
        <a:prstGeom prst="rect">
          <a:avLst/>
        </a:prstGeom>
      </xdr:spPr>
    </xdr:pic>
    <xdr:clientData/>
  </xdr:oneCellAnchor>
  <xdr:oneCellAnchor>
    <xdr:from>
      <xdr:col>1</xdr:col>
      <xdr:colOff>331003</xdr:colOff>
      <xdr:row>2</xdr:row>
      <xdr:rowOff>86773</xdr:rowOff>
    </xdr:from>
    <xdr:ext cx="476905" cy="482942"/>
    <xdr:pic>
      <xdr:nvPicPr>
        <xdr:cNvPr id="24" name="image20.jpe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923" y="1351693"/>
          <a:ext cx="476905" cy="482942"/>
        </a:xfrm>
        <a:prstGeom prst="rect">
          <a:avLst/>
        </a:prstGeom>
      </xdr:spPr>
    </xdr:pic>
    <xdr:clientData/>
  </xdr:oneCellAnchor>
  <xdr:oneCellAnchor>
    <xdr:from>
      <xdr:col>1</xdr:col>
      <xdr:colOff>226507</xdr:colOff>
      <xdr:row>3</xdr:row>
      <xdr:rowOff>18268</xdr:rowOff>
    </xdr:from>
    <xdr:ext cx="665033" cy="604576"/>
    <xdr:pic>
      <xdr:nvPicPr>
        <xdr:cNvPr id="25" name="image9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7" y="1915648"/>
          <a:ext cx="665033" cy="604576"/>
        </a:xfrm>
        <a:prstGeom prst="rect">
          <a:avLst/>
        </a:prstGeom>
      </xdr:spPr>
    </xdr:pic>
    <xdr:clientData/>
  </xdr:oneCellAnchor>
  <xdr:oneCellAnchor>
    <xdr:from>
      <xdr:col>1</xdr:col>
      <xdr:colOff>220885</xdr:colOff>
      <xdr:row>4</xdr:row>
      <xdr:rowOff>46066</xdr:rowOff>
    </xdr:from>
    <xdr:ext cx="663035" cy="512747"/>
    <xdr:pic>
      <xdr:nvPicPr>
        <xdr:cNvPr id="26" name="image21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5" y="2575906"/>
          <a:ext cx="663035" cy="512747"/>
        </a:xfrm>
        <a:prstGeom prst="rect">
          <a:avLst/>
        </a:prstGeom>
      </xdr:spPr>
    </xdr:pic>
    <xdr:clientData/>
  </xdr:oneCellAnchor>
  <xdr:oneCellAnchor>
    <xdr:from>
      <xdr:col>1</xdr:col>
      <xdr:colOff>137065</xdr:colOff>
      <xdr:row>5</xdr:row>
      <xdr:rowOff>39912</xdr:rowOff>
    </xdr:from>
    <xdr:ext cx="769715" cy="600168"/>
    <xdr:pic>
      <xdr:nvPicPr>
        <xdr:cNvPr id="27" name="image22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985" y="3202212"/>
          <a:ext cx="769715" cy="600168"/>
        </a:xfrm>
        <a:prstGeom prst="rect">
          <a:avLst/>
        </a:prstGeom>
      </xdr:spPr>
    </xdr:pic>
    <xdr:clientData/>
  </xdr:oneCellAnchor>
  <xdr:oneCellAnchor>
    <xdr:from>
      <xdr:col>1</xdr:col>
      <xdr:colOff>85704</xdr:colOff>
      <xdr:row>6</xdr:row>
      <xdr:rowOff>159869</xdr:rowOff>
    </xdr:from>
    <xdr:ext cx="819458" cy="381143"/>
    <xdr:pic>
      <xdr:nvPicPr>
        <xdr:cNvPr id="28" name="image14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458" cy="38114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79266</xdr:colOff>
      <xdr:row>2</xdr:row>
      <xdr:rowOff>192074</xdr:rowOff>
    </xdr:from>
    <xdr:ext cx="900338" cy="448005"/>
    <xdr:pic>
      <xdr:nvPicPr>
        <xdr:cNvPr id="6" name="image24.jpeg">
          <a:extLst>
            <a:ext uri="{FF2B5EF4-FFF2-40B4-BE49-F238E27FC236}">
              <a16:creationId xmlns:a16="http://schemas.microsoft.com/office/drawing/2014/main" id="{BD1A36A7-61AF-4892-9405-A547B6E2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866" y="1274114"/>
          <a:ext cx="900338" cy="448005"/>
        </a:xfrm>
        <a:prstGeom prst="rect">
          <a:avLst/>
        </a:prstGeom>
      </xdr:spPr>
    </xdr:pic>
    <xdr:clientData/>
  </xdr:oneCellAnchor>
  <xdr:twoCellAnchor editAs="oneCell">
    <xdr:from>
      <xdr:col>1</xdr:col>
      <xdr:colOff>15240</xdr:colOff>
      <xdr:row>3</xdr:row>
      <xdr:rowOff>137160</xdr:rowOff>
    </xdr:from>
    <xdr:to>
      <xdr:col>1</xdr:col>
      <xdr:colOff>1028700</xdr:colOff>
      <xdr:row>3</xdr:row>
      <xdr:rowOff>579120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1941B-B5EC-F1BD-C183-DADF7245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2125980"/>
          <a:ext cx="1013460" cy="441960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1</xdr:row>
      <xdr:rowOff>175260</xdr:rowOff>
    </xdr:from>
    <xdr:ext cx="771525" cy="409575"/>
    <xdr:pic>
      <xdr:nvPicPr>
        <xdr:cNvPr id="4" name="image21.png">
          <a:extLst>
            <a:ext uri="{FF2B5EF4-FFF2-40B4-BE49-F238E27FC236}">
              <a16:creationId xmlns:a16="http://schemas.microsoft.com/office/drawing/2014/main" id="{78667963-80A5-48CD-BE3F-EF20C169F57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23900" y="541020"/>
          <a:ext cx="771525" cy="4095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351312</xdr:colOff>
      <xdr:row>5</xdr:row>
      <xdr:rowOff>93092</xdr:rowOff>
    </xdr:from>
    <xdr:ext cx="524988" cy="356989"/>
    <xdr:pic>
      <xdr:nvPicPr>
        <xdr:cNvPr id="32" name="image26.jpe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12" y="2988692"/>
          <a:ext cx="524988" cy="356989"/>
        </a:xfrm>
        <a:prstGeom prst="rect">
          <a:avLst/>
        </a:prstGeom>
      </xdr:spPr>
    </xdr:pic>
    <xdr:clientData/>
  </xdr:oneCellAnchor>
  <xdr:oneCellAnchor>
    <xdr:from>
      <xdr:col>1</xdr:col>
      <xdr:colOff>271517</xdr:colOff>
      <xdr:row>1</xdr:row>
      <xdr:rowOff>72192</xdr:rowOff>
    </xdr:from>
    <xdr:ext cx="522375" cy="439208"/>
    <xdr:pic>
      <xdr:nvPicPr>
        <xdr:cNvPr id="34" name="image27.jpe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2375" cy="439208"/>
        </a:xfrm>
        <a:prstGeom prst="rect">
          <a:avLst/>
        </a:prstGeom>
      </xdr:spPr>
    </xdr:pic>
    <xdr:clientData/>
  </xdr:oneCellAnchor>
  <xdr:oneCellAnchor>
    <xdr:from>
      <xdr:col>1</xdr:col>
      <xdr:colOff>241235</xdr:colOff>
      <xdr:row>2</xdr:row>
      <xdr:rowOff>81210</xdr:rowOff>
    </xdr:from>
    <xdr:ext cx="647944" cy="447843"/>
    <xdr:pic>
      <xdr:nvPicPr>
        <xdr:cNvPr id="35" name="image28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944" cy="447843"/>
        </a:xfrm>
        <a:prstGeom prst="rect">
          <a:avLst/>
        </a:prstGeom>
      </xdr:spPr>
    </xdr:pic>
    <xdr:clientData/>
  </xdr:oneCellAnchor>
  <xdr:oneCellAnchor>
    <xdr:from>
      <xdr:col>1</xdr:col>
      <xdr:colOff>267573</xdr:colOff>
      <xdr:row>3</xdr:row>
      <xdr:rowOff>100441</xdr:rowOff>
    </xdr:from>
    <xdr:ext cx="590772" cy="428786"/>
    <xdr:pic>
      <xdr:nvPicPr>
        <xdr:cNvPr id="36" name="image29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772" cy="428786"/>
        </a:xfrm>
        <a:prstGeom prst="rect">
          <a:avLst/>
        </a:prstGeom>
      </xdr:spPr>
    </xdr:pic>
    <xdr:clientData/>
  </xdr:oneCellAnchor>
  <xdr:oneCellAnchor>
    <xdr:from>
      <xdr:col>1</xdr:col>
      <xdr:colOff>365810</xdr:colOff>
      <xdr:row>4</xdr:row>
      <xdr:rowOff>53486</xdr:rowOff>
    </xdr:from>
    <xdr:ext cx="480009" cy="495486"/>
    <xdr:pic>
      <xdr:nvPicPr>
        <xdr:cNvPr id="37" name="image30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010" y="2369966"/>
          <a:ext cx="480009" cy="495486"/>
        </a:xfrm>
        <a:prstGeom prst="rect">
          <a:avLst/>
        </a:prstGeom>
      </xdr:spPr>
    </xdr:pic>
    <xdr:clientData/>
  </xdr:oneCellAnchor>
  <xdr:oneCellAnchor>
    <xdr:from>
      <xdr:col>1</xdr:col>
      <xdr:colOff>292523</xdr:colOff>
      <xdr:row>6</xdr:row>
      <xdr:rowOff>53035</xdr:rowOff>
    </xdr:from>
    <xdr:ext cx="713317" cy="408880"/>
    <xdr:pic>
      <xdr:nvPicPr>
        <xdr:cNvPr id="38" name="image31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723" y="3527755"/>
          <a:ext cx="713317" cy="408880"/>
        </a:xfrm>
        <a:prstGeom prst="rect">
          <a:avLst/>
        </a:prstGeom>
      </xdr:spPr>
    </xdr:pic>
    <xdr:clientData/>
  </xdr:oneCellAnchor>
  <xdr:oneCellAnchor>
    <xdr:from>
      <xdr:col>1</xdr:col>
      <xdr:colOff>449580</xdr:colOff>
      <xdr:row>7</xdr:row>
      <xdr:rowOff>75310</xdr:rowOff>
    </xdr:from>
    <xdr:ext cx="488245" cy="465710"/>
    <xdr:pic>
      <xdr:nvPicPr>
        <xdr:cNvPr id="39" name="image32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4129150"/>
          <a:ext cx="488245" cy="465710"/>
        </a:xfrm>
        <a:prstGeom prst="rect">
          <a:avLst/>
        </a:prstGeom>
      </xdr:spPr>
    </xdr:pic>
    <xdr:clientData/>
  </xdr:oneCellAnchor>
  <xdr:oneCellAnchor>
    <xdr:from>
      <xdr:col>1</xdr:col>
      <xdr:colOff>564726</xdr:colOff>
      <xdr:row>8</xdr:row>
      <xdr:rowOff>53339</xdr:rowOff>
    </xdr:from>
    <xdr:ext cx="126457" cy="455247"/>
    <xdr:pic>
      <xdr:nvPicPr>
        <xdr:cNvPr id="40" name="image33.jpe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926" y="4686299"/>
          <a:ext cx="126457" cy="455247"/>
        </a:xfrm>
        <a:prstGeom prst="rect">
          <a:avLst/>
        </a:prstGeom>
      </xdr:spPr>
    </xdr:pic>
    <xdr:clientData/>
  </xdr:oneCellAnchor>
  <xdr:oneCellAnchor>
    <xdr:from>
      <xdr:col>1</xdr:col>
      <xdr:colOff>388620</xdr:colOff>
      <xdr:row>10</xdr:row>
      <xdr:rowOff>43021</xdr:rowOff>
    </xdr:from>
    <xdr:ext cx="495300" cy="495300"/>
    <xdr:pic>
      <xdr:nvPicPr>
        <xdr:cNvPr id="41" name="image34.p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5255101"/>
          <a:ext cx="495300" cy="495300"/>
        </a:xfrm>
        <a:prstGeom prst="rect">
          <a:avLst/>
        </a:prstGeom>
      </xdr:spPr>
    </xdr:pic>
    <xdr:clientData/>
  </xdr:oneCellAnchor>
  <xdr:oneCellAnchor>
    <xdr:from>
      <xdr:col>1</xdr:col>
      <xdr:colOff>315689</xdr:colOff>
      <xdr:row>11</xdr:row>
      <xdr:rowOff>39630</xdr:rowOff>
    </xdr:from>
    <xdr:ext cx="591091" cy="474538"/>
    <xdr:pic>
      <xdr:nvPicPr>
        <xdr:cNvPr id="42" name="image35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889" y="5830830"/>
          <a:ext cx="591091" cy="474538"/>
        </a:xfrm>
        <a:prstGeom prst="rect">
          <a:avLst/>
        </a:prstGeom>
      </xdr:spPr>
    </xdr:pic>
    <xdr:clientData/>
  </xdr:oneCellAnchor>
  <xdr:oneCellAnchor>
    <xdr:from>
      <xdr:col>1</xdr:col>
      <xdr:colOff>306087</xdr:colOff>
      <xdr:row>12</xdr:row>
      <xdr:rowOff>50242</xdr:rowOff>
    </xdr:from>
    <xdr:ext cx="600693" cy="524549"/>
    <xdr:pic>
      <xdr:nvPicPr>
        <xdr:cNvPr id="43" name="image36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87" y="6420562"/>
          <a:ext cx="600693" cy="524549"/>
        </a:xfrm>
        <a:prstGeom prst="rect">
          <a:avLst/>
        </a:prstGeom>
      </xdr:spPr>
    </xdr:pic>
    <xdr:clientData/>
  </xdr:oneCellAnchor>
  <xdr:oneCellAnchor>
    <xdr:from>
      <xdr:col>1</xdr:col>
      <xdr:colOff>323365</xdr:colOff>
      <xdr:row>13</xdr:row>
      <xdr:rowOff>120530</xdr:rowOff>
    </xdr:from>
    <xdr:ext cx="489596" cy="489758"/>
    <xdr:pic>
      <xdr:nvPicPr>
        <xdr:cNvPr id="44" name="image37.jpe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565" y="7069970"/>
          <a:ext cx="489596" cy="489758"/>
        </a:xfrm>
        <a:prstGeom prst="rect">
          <a:avLst/>
        </a:prstGeom>
      </xdr:spPr>
    </xdr:pic>
    <xdr:clientData/>
  </xdr:oneCellAnchor>
  <xdr:oneCellAnchor>
    <xdr:from>
      <xdr:col>1</xdr:col>
      <xdr:colOff>310549</xdr:colOff>
      <xdr:row>14</xdr:row>
      <xdr:rowOff>37741</xdr:rowOff>
    </xdr:from>
    <xdr:ext cx="489551" cy="629422"/>
    <xdr:pic>
      <xdr:nvPicPr>
        <xdr:cNvPr id="45" name="image38.pn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49" y="7665361"/>
          <a:ext cx="489551" cy="629422"/>
        </a:xfrm>
        <a:prstGeom prst="rect">
          <a:avLst/>
        </a:prstGeom>
      </xdr:spPr>
    </xdr:pic>
    <xdr:clientData/>
  </xdr:oneCellAnchor>
  <xdr:oneCellAnchor>
    <xdr:from>
      <xdr:col>1</xdr:col>
      <xdr:colOff>197403</xdr:colOff>
      <xdr:row>15</xdr:row>
      <xdr:rowOff>81565</xdr:rowOff>
    </xdr:from>
    <xdr:ext cx="686058" cy="476429"/>
    <xdr:pic>
      <xdr:nvPicPr>
        <xdr:cNvPr id="46" name="image39.pn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603" y="8387365"/>
          <a:ext cx="686058" cy="476429"/>
        </a:xfrm>
        <a:prstGeom prst="rect">
          <a:avLst/>
        </a:prstGeom>
      </xdr:spPr>
    </xdr:pic>
    <xdr:clientData/>
  </xdr:oneCellAnchor>
  <xdr:twoCellAnchor editAs="oneCell">
    <xdr:from>
      <xdr:col>1</xdr:col>
      <xdr:colOff>243840</xdr:colOff>
      <xdr:row>9</xdr:row>
      <xdr:rowOff>27735</xdr:rowOff>
    </xdr:from>
    <xdr:to>
      <xdr:col>1</xdr:col>
      <xdr:colOff>1028700</xdr:colOff>
      <xdr:row>9</xdr:row>
      <xdr:rowOff>545659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F28E8A-4C63-660B-A0E8-0788E901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1040" y="5239815"/>
          <a:ext cx="784860" cy="5179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200106</xdr:colOff>
      <xdr:row>9</xdr:row>
      <xdr:rowOff>76304</xdr:rowOff>
    </xdr:from>
    <xdr:ext cx="714644" cy="419257"/>
    <xdr:pic>
      <xdr:nvPicPr>
        <xdr:cNvPr id="47" name="image40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644" cy="419257"/>
        </a:xfrm>
        <a:prstGeom prst="rect">
          <a:avLst/>
        </a:prstGeom>
      </xdr:spPr>
    </xdr:pic>
    <xdr:clientData/>
  </xdr:oneCellAnchor>
  <xdr:oneCellAnchor>
    <xdr:from>
      <xdr:col>1</xdr:col>
      <xdr:colOff>320539</xdr:colOff>
      <xdr:row>10</xdr:row>
      <xdr:rowOff>53926</xdr:rowOff>
    </xdr:from>
    <xdr:ext cx="571001" cy="475753"/>
    <xdr:pic>
      <xdr:nvPicPr>
        <xdr:cNvPr id="48" name="image41.jpe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739" y="5136466"/>
          <a:ext cx="571001" cy="475753"/>
        </a:xfrm>
        <a:prstGeom prst="rect">
          <a:avLst/>
        </a:prstGeom>
      </xdr:spPr>
    </xdr:pic>
    <xdr:clientData/>
  </xdr:oneCellAnchor>
  <xdr:oneCellAnchor>
    <xdr:from>
      <xdr:col>1</xdr:col>
      <xdr:colOff>333357</xdr:colOff>
      <xdr:row>11</xdr:row>
      <xdr:rowOff>34780</xdr:rowOff>
    </xdr:from>
    <xdr:ext cx="634383" cy="475786"/>
    <xdr:pic>
      <xdr:nvPicPr>
        <xdr:cNvPr id="49" name="image42.pn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57" y="5688820"/>
          <a:ext cx="634383" cy="475786"/>
        </a:xfrm>
        <a:prstGeom prst="rect">
          <a:avLst/>
        </a:prstGeom>
      </xdr:spPr>
    </xdr:pic>
    <xdr:clientData/>
  </xdr:oneCellAnchor>
  <xdr:oneCellAnchor>
    <xdr:from>
      <xdr:col>1</xdr:col>
      <xdr:colOff>403514</xdr:colOff>
      <xdr:row>8</xdr:row>
      <xdr:rowOff>45721</xdr:rowOff>
    </xdr:from>
    <xdr:ext cx="510886" cy="447494"/>
    <xdr:pic>
      <xdr:nvPicPr>
        <xdr:cNvPr id="51" name="image43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14" y="3992881"/>
          <a:ext cx="510886" cy="447494"/>
        </a:xfrm>
        <a:prstGeom prst="rect">
          <a:avLst/>
        </a:prstGeom>
      </xdr:spPr>
    </xdr:pic>
    <xdr:clientData/>
  </xdr:oneCellAnchor>
  <xdr:oneCellAnchor>
    <xdr:from>
      <xdr:col>1</xdr:col>
      <xdr:colOff>404315</xdr:colOff>
      <xdr:row>6</xdr:row>
      <xdr:rowOff>84964</xdr:rowOff>
    </xdr:from>
    <xdr:ext cx="494845" cy="451438"/>
    <xdr:pic>
      <xdr:nvPicPr>
        <xdr:cNvPr id="53" name="image45.jpe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515" y="2904364"/>
          <a:ext cx="494845" cy="451438"/>
        </a:xfrm>
        <a:prstGeom prst="rect">
          <a:avLst/>
        </a:prstGeom>
      </xdr:spPr>
    </xdr:pic>
    <xdr:clientData/>
  </xdr:oneCellAnchor>
  <xdr:oneCellAnchor>
    <xdr:from>
      <xdr:col>1</xdr:col>
      <xdr:colOff>331922</xdr:colOff>
      <xdr:row>5</xdr:row>
      <xdr:rowOff>76200</xdr:rowOff>
    </xdr:from>
    <xdr:ext cx="585179" cy="441004"/>
    <xdr:pic>
      <xdr:nvPicPr>
        <xdr:cNvPr id="54" name="image46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122" y="2331720"/>
          <a:ext cx="585179" cy="441004"/>
        </a:xfrm>
        <a:prstGeom prst="rect">
          <a:avLst/>
        </a:prstGeom>
      </xdr:spPr>
    </xdr:pic>
    <xdr:clientData/>
  </xdr:oneCellAnchor>
  <xdr:oneCellAnchor>
    <xdr:from>
      <xdr:col>1</xdr:col>
      <xdr:colOff>462522</xdr:colOff>
      <xdr:row>4</xdr:row>
      <xdr:rowOff>42220</xdr:rowOff>
    </xdr:from>
    <xdr:ext cx="309015" cy="460452"/>
    <xdr:pic>
      <xdr:nvPicPr>
        <xdr:cNvPr id="55" name="image47.jpe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722" y="1733860"/>
          <a:ext cx="309015" cy="460452"/>
        </a:xfrm>
        <a:prstGeom prst="rect">
          <a:avLst/>
        </a:prstGeom>
      </xdr:spPr>
    </xdr:pic>
    <xdr:clientData/>
  </xdr:oneCellAnchor>
  <xdr:oneCellAnchor>
    <xdr:from>
      <xdr:col>1</xdr:col>
      <xdr:colOff>420365</xdr:colOff>
      <xdr:row>2</xdr:row>
      <xdr:rowOff>99060</xdr:rowOff>
    </xdr:from>
    <xdr:ext cx="387355" cy="371827"/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/>
      </xdr:nvGrpSpPr>
      <xdr:grpSpPr>
        <a:xfrm>
          <a:off x="877565" y="1226820"/>
          <a:ext cx="387355" cy="371827"/>
          <a:chOff x="0" y="0"/>
          <a:chExt cx="562610" cy="517525"/>
        </a:xfrm>
      </xdr:grpSpPr>
      <xdr:pic>
        <xdr:nvPicPr>
          <xdr:cNvPr id="57" name="image48.jpeg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15" y="27081"/>
            <a:ext cx="510134" cy="465343"/>
          </a:xfrm>
          <a:prstGeom prst="rect">
            <a:avLst/>
          </a:prstGeom>
        </xdr:spPr>
      </xdr:pic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/>
        </xdr:nvSpPr>
        <xdr:spPr>
          <a:xfrm>
            <a:off x="9528" y="9528"/>
            <a:ext cx="543560" cy="498475"/>
          </a:xfrm>
          <a:custGeom>
            <a:avLst/>
            <a:gdLst/>
            <a:ahLst/>
            <a:cxnLst/>
            <a:rect l="0" t="0" r="0" b="0"/>
            <a:pathLst>
              <a:path w="543560" h="498475">
                <a:moveTo>
                  <a:pt x="0" y="0"/>
                </a:moveTo>
                <a:lnTo>
                  <a:pt x="0" y="497868"/>
                </a:lnTo>
                <a:lnTo>
                  <a:pt x="543129" y="497868"/>
                </a:lnTo>
                <a:lnTo>
                  <a:pt x="543129" y="0"/>
                </a:lnTo>
                <a:lnTo>
                  <a:pt x="0" y="0"/>
                </a:lnTo>
              </a:path>
            </a:pathLst>
          </a:custGeom>
          <a:ln w="19057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285594</xdr:colOff>
      <xdr:row>1</xdr:row>
      <xdr:rowOff>38100</xdr:rowOff>
    </xdr:from>
    <xdr:ext cx="718434" cy="484525"/>
    <xdr:pic>
      <xdr:nvPicPr>
        <xdr:cNvPr id="59" name="image49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794" y="601980"/>
          <a:ext cx="718434" cy="484525"/>
        </a:xfrm>
        <a:prstGeom prst="rect">
          <a:avLst/>
        </a:prstGeom>
      </xdr:spPr>
    </xdr:pic>
    <xdr:clientData/>
  </xdr:oneCellAnchor>
  <xdr:oneCellAnchor>
    <xdr:from>
      <xdr:col>1</xdr:col>
      <xdr:colOff>88405</xdr:colOff>
      <xdr:row>12</xdr:row>
      <xdr:rowOff>59389</xdr:rowOff>
    </xdr:from>
    <xdr:ext cx="1138415" cy="458041"/>
    <xdr:pic>
      <xdr:nvPicPr>
        <xdr:cNvPr id="61" name="image50.jpe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605" y="6277309"/>
          <a:ext cx="1138415" cy="458041"/>
        </a:xfrm>
        <a:prstGeom prst="rect">
          <a:avLst/>
        </a:prstGeom>
      </xdr:spPr>
    </xdr:pic>
    <xdr:clientData/>
  </xdr:oneCellAnchor>
  <xdr:oneCellAnchor>
    <xdr:from>
      <xdr:col>1</xdr:col>
      <xdr:colOff>352564</xdr:colOff>
      <xdr:row>13</xdr:row>
      <xdr:rowOff>76226</xdr:rowOff>
    </xdr:from>
    <xdr:ext cx="419257" cy="419257"/>
    <xdr:pic>
      <xdr:nvPicPr>
        <xdr:cNvPr id="62" name="image51.pn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9257" cy="419257"/>
        </a:xfrm>
        <a:prstGeom prst="rect">
          <a:avLst/>
        </a:prstGeom>
      </xdr:spPr>
    </xdr:pic>
    <xdr:clientData/>
  </xdr:oneCellAnchor>
  <xdr:oneCellAnchor>
    <xdr:from>
      <xdr:col>1</xdr:col>
      <xdr:colOff>352564</xdr:colOff>
      <xdr:row>14</xdr:row>
      <xdr:rowOff>76236</xdr:rowOff>
    </xdr:from>
    <xdr:ext cx="419257" cy="419257"/>
    <xdr:pic>
      <xdr:nvPicPr>
        <xdr:cNvPr id="63" name="image52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9257" cy="419257"/>
        </a:xfrm>
        <a:prstGeom prst="rect">
          <a:avLst/>
        </a:prstGeom>
      </xdr:spPr>
    </xdr:pic>
    <xdr:clientData/>
  </xdr:oneCellAnchor>
  <xdr:oneCellAnchor>
    <xdr:from>
      <xdr:col>1</xdr:col>
      <xdr:colOff>201749</xdr:colOff>
      <xdr:row>24</xdr:row>
      <xdr:rowOff>77976</xdr:rowOff>
    </xdr:from>
    <xdr:ext cx="722530" cy="512901"/>
    <xdr:pic>
      <xdr:nvPicPr>
        <xdr:cNvPr id="64" name="image53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2530" cy="512901"/>
        </a:xfrm>
        <a:prstGeom prst="rect">
          <a:avLst/>
        </a:prstGeom>
      </xdr:spPr>
    </xdr:pic>
    <xdr:clientData/>
  </xdr:oneCellAnchor>
  <xdr:oneCellAnchor>
    <xdr:from>
      <xdr:col>1</xdr:col>
      <xdr:colOff>418508</xdr:colOff>
      <xdr:row>27</xdr:row>
      <xdr:rowOff>75945</xdr:rowOff>
    </xdr:from>
    <xdr:ext cx="465412" cy="445394"/>
    <xdr:pic>
      <xdr:nvPicPr>
        <xdr:cNvPr id="65" name="image54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708" y="15178785"/>
          <a:ext cx="465412" cy="445394"/>
        </a:xfrm>
        <a:prstGeom prst="rect">
          <a:avLst/>
        </a:prstGeom>
      </xdr:spPr>
    </xdr:pic>
    <xdr:clientData/>
  </xdr:oneCellAnchor>
  <xdr:oneCellAnchor>
    <xdr:from>
      <xdr:col>1</xdr:col>
      <xdr:colOff>296588</xdr:colOff>
      <xdr:row>26</xdr:row>
      <xdr:rowOff>83819</xdr:rowOff>
    </xdr:from>
    <xdr:ext cx="558521" cy="430669"/>
    <xdr:pic>
      <xdr:nvPicPr>
        <xdr:cNvPr id="66" name="image55.pn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88" y="14615159"/>
          <a:ext cx="558521" cy="430669"/>
        </a:xfrm>
        <a:prstGeom prst="rect">
          <a:avLst/>
        </a:prstGeom>
      </xdr:spPr>
    </xdr:pic>
    <xdr:clientData/>
  </xdr:oneCellAnchor>
  <xdr:oneCellAnchor>
    <xdr:from>
      <xdr:col>1</xdr:col>
      <xdr:colOff>195967</xdr:colOff>
      <xdr:row>25</xdr:row>
      <xdr:rowOff>61126</xdr:rowOff>
    </xdr:from>
    <xdr:ext cx="762287" cy="571715"/>
    <xdr:pic>
      <xdr:nvPicPr>
        <xdr:cNvPr id="67" name="image56.png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287" cy="571715"/>
        </a:xfrm>
        <a:prstGeom prst="rect">
          <a:avLst/>
        </a:prstGeom>
      </xdr:spPr>
    </xdr:pic>
    <xdr:clientData/>
  </xdr:oneCellAnchor>
  <xdr:oneCellAnchor>
    <xdr:from>
      <xdr:col>1</xdr:col>
      <xdr:colOff>340747</xdr:colOff>
      <xdr:row>23</xdr:row>
      <xdr:rowOff>85788</xdr:rowOff>
    </xdr:from>
    <xdr:ext cx="489833" cy="478092"/>
    <xdr:pic>
      <xdr:nvPicPr>
        <xdr:cNvPr id="68" name="image57.png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947" y="12628308"/>
          <a:ext cx="489833" cy="478092"/>
        </a:xfrm>
        <a:prstGeom prst="rect">
          <a:avLst/>
        </a:prstGeom>
      </xdr:spPr>
    </xdr:pic>
    <xdr:clientData/>
  </xdr:oneCellAnchor>
  <xdr:oneCellAnchor>
    <xdr:from>
      <xdr:col>1</xdr:col>
      <xdr:colOff>208088</xdr:colOff>
      <xdr:row>22</xdr:row>
      <xdr:rowOff>157305</xdr:rowOff>
    </xdr:from>
    <xdr:ext cx="741485" cy="356338"/>
    <xdr:pic>
      <xdr:nvPicPr>
        <xdr:cNvPr id="69" name="image58.jpeg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1485" cy="356338"/>
        </a:xfrm>
        <a:prstGeom prst="rect">
          <a:avLst/>
        </a:prstGeom>
      </xdr:spPr>
    </xdr:pic>
    <xdr:clientData/>
  </xdr:oneCellAnchor>
  <xdr:oneCellAnchor>
    <xdr:from>
      <xdr:col>1</xdr:col>
      <xdr:colOff>360283</xdr:colOff>
      <xdr:row>21</xdr:row>
      <xdr:rowOff>41388</xdr:rowOff>
    </xdr:from>
    <xdr:ext cx="645557" cy="513540"/>
    <xdr:pic>
      <xdr:nvPicPr>
        <xdr:cNvPr id="71" name="image59.png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483" y="11357088"/>
          <a:ext cx="645557" cy="513540"/>
        </a:xfrm>
        <a:prstGeom prst="rect">
          <a:avLst/>
        </a:prstGeom>
      </xdr:spPr>
    </xdr:pic>
    <xdr:clientData/>
  </xdr:oneCellAnchor>
  <xdr:oneCellAnchor>
    <xdr:from>
      <xdr:col>1</xdr:col>
      <xdr:colOff>225684</xdr:colOff>
      <xdr:row>17</xdr:row>
      <xdr:rowOff>34565</xdr:rowOff>
    </xdr:from>
    <xdr:ext cx="590772" cy="476429"/>
    <xdr:pic>
      <xdr:nvPicPr>
        <xdr:cNvPr id="75" name="image62.png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772" cy="476429"/>
        </a:xfrm>
        <a:prstGeom prst="rect">
          <a:avLst/>
        </a:prstGeom>
      </xdr:spPr>
    </xdr:pic>
    <xdr:clientData/>
  </xdr:oneCellAnchor>
  <xdr:oneCellAnchor>
    <xdr:from>
      <xdr:col>1</xdr:col>
      <xdr:colOff>268455</xdr:colOff>
      <xdr:row>16</xdr:row>
      <xdr:rowOff>53340</xdr:rowOff>
    </xdr:from>
    <xdr:ext cx="716154" cy="480060"/>
    <xdr:pic>
      <xdr:nvPicPr>
        <xdr:cNvPr id="76" name="image63.png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655" y="8549640"/>
          <a:ext cx="716154" cy="480060"/>
        </a:xfrm>
        <a:prstGeom prst="rect">
          <a:avLst/>
        </a:prstGeom>
      </xdr:spPr>
    </xdr:pic>
    <xdr:clientData/>
  </xdr:oneCellAnchor>
  <xdr:oneCellAnchor>
    <xdr:from>
      <xdr:col>1</xdr:col>
      <xdr:colOff>402770</xdr:colOff>
      <xdr:row>15</xdr:row>
      <xdr:rowOff>30829</xdr:rowOff>
    </xdr:from>
    <xdr:ext cx="404950" cy="487593"/>
    <xdr:pic>
      <xdr:nvPicPr>
        <xdr:cNvPr id="77" name="image64.png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70" y="7963249"/>
          <a:ext cx="404950" cy="487593"/>
        </a:xfrm>
        <a:prstGeom prst="rect">
          <a:avLst/>
        </a:prstGeom>
      </xdr:spPr>
    </xdr:pic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165512</xdr:colOff>
      <xdr:row>28</xdr:row>
      <xdr:rowOff>0</xdr:rowOff>
    </xdr:from>
    <xdr:ext cx="48260" cy="4826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absoluteAnchor>
    <xdr:pos x="165512" y="21684760"/>
    <xdr:ext cx="48260" cy="4826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absoluteAnchor>
  <xdr:twoCellAnchor>
    <xdr:from>
      <xdr:col>1</xdr:col>
      <xdr:colOff>243841</xdr:colOff>
      <xdr:row>7</xdr:row>
      <xdr:rowOff>0</xdr:rowOff>
    </xdr:from>
    <xdr:to>
      <xdr:col>1</xdr:col>
      <xdr:colOff>1066800</xdr:colOff>
      <xdr:row>7</xdr:row>
      <xdr:rowOff>540189</xdr:rowOff>
    </xdr:to>
    <xdr:pic>
      <xdr:nvPicPr>
        <xdr:cNvPr id="2" name="image44.png">
          <a:extLst>
            <a:ext uri="{FF2B5EF4-FFF2-40B4-BE49-F238E27FC236}">
              <a16:creationId xmlns:a16="http://schemas.microsoft.com/office/drawing/2014/main" id="{19780ACF-5886-4875-BEEE-88672853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1" y="3383280"/>
          <a:ext cx="822959" cy="540189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18</xdr:row>
      <xdr:rowOff>30480</xdr:rowOff>
    </xdr:from>
    <xdr:to>
      <xdr:col>1</xdr:col>
      <xdr:colOff>876300</xdr:colOff>
      <xdr:row>18</xdr:row>
      <xdr:rowOff>507010</xdr:rowOff>
    </xdr:to>
    <xdr:pic>
      <xdr:nvPicPr>
        <xdr:cNvPr id="3" name="image61.png">
          <a:extLst>
            <a:ext uri="{FF2B5EF4-FFF2-40B4-BE49-F238E27FC236}">
              <a16:creationId xmlns:a16="http://schemas.microsoft.com/office/drawing/2014/main" id="{36FD6994-2913-4E43-A672-DC56DE867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9654540"/>
          <a:ext cx="609600" cy="476530"/>
        </a:xfrm>
        <a:prstGeom prst="rect">
          <a:avLst/>
        </a:prstGeom>
      </xdr:spPr>
    </xdr:pic>
    <xdr:clientData/>
  </xdr:twoCellAnchor>
  <xdr:twoCellAnchor>
    <xdr:from>
      <xdr:col>1</xdr:col>
      <xdr:colOff>350521</xdr:colOff>
      <xdr:row>19</xdr:row>
      <xdr:rowOff>22861</xdr:rowOff>
    </xdr:from>
    <xdr:to>
      <xdr:col>1</xdr:col>
      <xdr:colOff>960120</xdr:colOff>
      <xdr:row>19</xdr:row>
      <xdr:rowOff>541020</xdr:rowOff>
    </xdr:to>
    <xdr:pic>
      <xdr:nvPicPr>
        <xdr:cNvPr id="4" name="image60.png">
          <a:extLst>
            <a:ext uri="{FF2B5EF4-FFF2-40B4-BE49-F238E27FC236}">
              <a16:creationId xmlns:a16="http://schemas.microsoft.com/office/drawing/2014/main" id="{76D7C441-13F8-42E1-B6D7-23CBF500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1" y="10210801"/>
          <a:ext cx="609599" cy="518159"/>
        </a:xfrm>
        <a:prstGeom prst="rect">
          <a:avLst/>
        </a:prstGeom>
      </xdr:spPr>
    </xdr:pic>
    <xdr:clientData/>
  </xdr:twoCellAnchor>
  <xdr:twoCellAnchor>
    <xdr:from>
      <xdr:col>1</xdr:col>
      <xdr:colOff>381001</xdr:colOff>
      <xdr:row>20</xdr:row>
      <xdr:rowOff>30481</xdr:rowOff>
    </xdr:from>
    <xdr:to>
      <xdr:col>1</xdr:col>
      <xdr:colOff>990600</xdr:colOff>
      <xdr:row>20</xdr:row>
      <xdr:rowOff>548640</xdr:rowOff>
    </xdr:to>
    <xdr:pic>
      <xdr:nvPicPr>
        <xdr:cNvPr id="5" name="image60.png">
          <a:extLst>
            <a:ext uri="{FF2B5EF4-FFF2-40B4-BE49-F238E27FC236}">
              <a16:creationId xmlns:a16="http://schemas.microsoft.com/office/drawing/2014/main" id="{B7D23172-FF5A-40F8-A221-DF4837C6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1" y="10782301"/>
          <a:ext cx="609599" cy="518159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3</xdr:row>
      <xdr:rowOff>106680</xdr:rowOff>
    </xdr:from>
    <xdr:to>
      <xdr:col>1</xdr:col>
      <xdr:colOff>1158323</xdr:colOff>
      <xdr:row>3</xdr:row>
      <xdr:rowOff>502954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7F9C61-FD13-F536-47D5-EA3C3FEF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2940" y="1798320"/>
          <a:ext cx="952583" cy="39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opLeftCell="A16" workbookViewId="0">
      <selection activeCell="I2" sqref="I2"/>
    </sheetView>
  </sheetViews>
  <sheetFormatPr defaultColWidth="9.109375" defaultRowHeight="13.2"/>
  <cols>
    <col min="1" max="1" width="7.109375" style="17" customWidth="1"/>
    <col min="2" max="2" width="17.77734375" style="17" customWidth="1"/>
    <col min="3" max="3" width="12" style="17" customWidth="1"/>
    <col min="4" max="4" width="8.21875" style="17" customWidth="1"/>
    <col min="5" max="5" width="12.44140625" style="17" customWidth="1"/>
    <col min="6" max="6" width="8.21875" style="17" customWidth="1"/>
    <col min="7" max="7" width="9.33203125" style="17" customWidth="1"/>
    <col min="8" max="8" width="15.77734375" style="17" customWidth="1"/>
    <col min="9" max="16384" width="9.109375" style="17"/>
  </cols>
  <sheetData>
    <row r="1" spans="1:18" ht="48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207</v>
      </c>
      <c r="G1" s="16" t="s">
        <v>6</v>
      </c>
      <c r="H1" s="38" t="s">
        <v>298</v>
      </c>
    </row>
    <row r="2" spans="1:18" ht="48" customHeight="1">
      <c r="A2" s="5">
        <v>1</v>
      </c>
      <c r="B2" s="6"/>
      <c r="C2" s="8" t="s">
        <v>7</v>
      </c>
      <c r="D2" s="8" t="s">
        <v>8</v>
      </c>
      <c r="E2" s="13" t="s">
        <v>9</v>
      </c>
      <c r="F2" s="8">
        <v>6</v>
      </c>
      <c r="G2" s="8" t="s">
        <v>10</v>
      </c>
      <c r="H2" s="10">
        <v>47500</v>
      </c>
    </row>
    <row r="3" spans="1:18" ht="48" customHeight="1">
      <c r="A3" s="5">
        <v>2</v>
      </c>
      <c r="B3" s="6"/>
      <c r="C3" s="8" t="s">
        <v>11</v>
      </c>
      <c r="D3" s="8" t="s">
        <v>12</v>
      </c>
      <c r="E3" s="13" t="s">
        <v>13</v>
      </c>
      <c r="F3" s="8">
        <v>4</v>
      </c>
      <c r="G3" s="8" t="s">
        <v>10</v>
      </c>
      <c r="H3" s="10">
        <v>43400</v>
      </c>
    </row>
    <row r="4" spans="1:18" ht="48" customHeight="1">
      <c r="A4" s="5">
        <v>3</v>
      </c>
      <c r="B4" s="6"/>
      <c r="C4" s="8" t="s">
        <v>14</v>
      </c>
      <c r="D4" s="8" t="s">
        <v>15</v>
      </c>
      <c r="E4" s="12" t="s">
        <v>16</v>
      </c>
      <c r="F4" s="8">
        <v>4</v>
      </c>
      <c r="G4" s="8" t="s">
        <v>10</v>
      </c>
      <c r="H4" s="10">
        <v>30400</v>
      </c>
    </row>
    <row r="5" spans="1:18" ht="48" customHeight="1">
      <c r="A5" s="5">
        <v>4</v>
      </c>
      <c r="B5" s="6"/>
      <c r="C5" s="8" t="s">
        <v>17</v>
      </c>
      <c r="D5" s="8" t="s">
        <v>18</v>
      </c>
      <c r="E5" s="8" t="s">
        <v>19</v>
      </c>
      <c r="F5" s="8">
        <v>2</v>
      </c>
      <c r="G5" s="8" t="s">
        <v>10</v>
      </c>
      <c r="H5" s="10">
        <v>18900</v>
      </c>
    </row>
    <row r="6" spans="1:18" ht="48" customHeight="1">
      <c r="A6" s="5">
        <v>5</v>
      </c>
      <c r="B6" s="6"/>
      <c r="C6" s="8" t="s">
        <v>20</v>
      </c>
      <c r="D6" s="8" t="s">
        <v>21</v>
      </c>
      <c r="E6" s="7" t="s">
        <v>22</v>
      </c>
      <c r="F6" s="8" t="s">
        <v>208</v>
      </c>
      <c r="G6" s="8" t="s">
        <v>10</v>
      </c>
      <c r="H6" s="10">
        <v>8900</v>
      </c>
    </row>
    <row r="7" spans="1:18" ht="48" customHeight="1">
      <c r="A7" s="5">
        <v>6</v>
      </c>
      <c r="B7" s="6"/>
      <c r="C7" s="8" t="s">
        <v>23</v>
      </c>
      <c r="D7" s="8" t="s">
        <v>24</v>
      </c>
      <c r="E7" s="7" t="s">
        <v>25</v>
      </c>
      <c r="F7" s="8">
        <v>2</v>
      </c>
      <c r="G7" s="8" t="s">
        <v>10</v>
      </c>
      <c r="H7" s="10">
        <v>12200</v>
      </c>
    </row>
    <row r="8" spans="1:18" ht="50.25" customHeight="1">
      <c r="C8" s="18" t="s">
        <v>26</v>
      </c>
      <c r="D8" s="18" t="s">
        <v>27</v>
      </c>
      <c r="E8" s="19" t="s">
        <v>28</v>
      </c>
      <c r="F8" s="18">
        <v>2</v>
      </c>
      <c r="G8" s="18" t="s">
        <v>29</v>
      </c>
      <c r="H8" s="20">
        <v>7900</v>
      </c>
    </row>
    <row r="9" spans="1:18" ht="50.25" customHeight="1">
      <c r="C9" s="18" t="s">
        <v>30</v>
      </c>
      <c r="D9" s="18" t="s">
        <v>31</v>
      </c>
      <c r="E9" s="18" t="s">
        <v>32</v>
      </c>
      <c r="F9" s="18">
        <v>4</v>
      </c>
      <c r="G9" s="18" t="s">
        <v>29</v>
      </c>
      <c r="H9" s="20">
        <v>10300</v>
      </c>
    </row>
    <row r="10" spans="1:18" ht="50.25" customHeight="1">
      <c r="C10" s="18" t="s">
        <v>33</v>
      </c>
      <c r="D10" s="18" t="s">
        <v>34</v>
      </c>
      <c r="E10" s="21" t="s">
        <v>35</v>
      </c>
      <c r="F10" s="18">
        <v>4</v>
      </c>
      <c r="G10" s="18" t="s">
        <v>29</v>
      </c>
      <c r="H10" s="20">
        <v>10300</v>
      </c>
      <c r="J10" s="22"/>
      <c r="K10" s="23"/>
      <c r="L10" s="24"/>
      <c r="M10" s="22"/>
      <c r="N10" s="22"/>
      <c r="O10" s="25"/>
      <c r="P10" s="24"/>
      <c r="Q10" s="26"/>
      <c r="R10" s="26"/>
    </row>
    <row r="11" spans="1:18" ht="50.25" customHeight="1">
      <c r="C11" s="18" t="s">
        <v>36</v>
      </c>
      <c r="D11" s="18" t="s">
        <v>37</v>
      </c>
      <c r="E11" s="27" t="s">
        <v>38</v>
      </c>
      <c r="F11" s="18">
        <v>4</v>
      </c>
      <c r="G11" s="18" t="s">
        <v>29</v>
      </c>
      <c r="H11" s="20">
        <v>10300</v>
      </c>
      <c r="J11" s="28"/>
      <c r="K11" s="6"/>
    </row>
    <row r="12" spans="1:18" ht="56.25" customHeight="1">
      <c r="A12" s="28">
        <v>5</v>
      </c>
      <c r="B12" s="6"/>
      <c r="C12" s="18" t="s">
        <v>39</v>
      </c>
      <c r="D12" s="18" t="s">
        <v>40</v>
      </c>
      <c r="E12" s="27" t="s">
        <v>270</v>
      </c>
      <c r="F12" s="18">
        <v>4</v>
      </c>
      <c r="G12" s="18" t="s">
        <v>29</v>
      </c>
      <c r="H12" s="20">
        <v>10300</v>
      </c>
      <c r="J12" s="28"/>
      <c r="K12" s="6"/>
    </row>
    <row r="13" spans="1:18" ht="56.4" customHeight="1">
      <c r="A13" s="28">
        <v>6</v>
      </c>
      <c r="B13" s="6"/>
      <c r="C13" s="18" t="s">
        <v>41</v>
      </c>
      <c r="D13" s="18" t="s">
        <v>42</v>
      </c>
      <c r="E13" s="18" t="s">
        <v>43</v>
      </c>
      <c r="F13" s="18">
        <v>6</v>
      </c>
      <c r="G13" s="18" t="s">
        <v>29</v>
      </c>
      <c r="H13" s="20">
        <v>12600</v>
      </c>
      <c r="J13" s="28"/>
      <c r="K13" s="6"/>
    </row>
    <row r="14" spans="1:18" ht="56.4" customHeight="1">
      <c r="A14" s="28">
        <v>7</v>
      </c>
      <c r="B14" s="6"/>
      <c r="C14" s="18" t="s">
        <v>44</v>
      </c>
      <c r="D14" s="18" t="s">
        <v>45</v>
      </c>
      <c r="E14" s="19" t="s">
        <v>46</v>
      </c>
      <c r="F14" s="18">
        <v>6</v>
      </c>
      <c r="G14" s="18" t="s">
        <v>29</v>
      </c>
      <c r="H14" s="20">
        <v>13700</v>
      </c>
      <c r="J14" s="28"/>
      <c r="K14" s="6"/>
    </row>
    <row r="15" spans="1:18" ht="48.3" customHeight="1">
      <c r="A15" s="28">
        <v>8</v>
      </c>
      <c r="B15" s="6"/>
      <c r="C15" s="18" t="s">
        <v>47</v>
      </c>
      <c r="D15" s="18" t="s">
        <v>45</v>
      </c>
      <c r="E15" s="21" t="s">
        <v>48</v>
      </c>
      <c r="F15" s="18">
        <v>6</v>
      </c>
      <c r="G15" s="18" t="s">
        <v>29</v>
      </c>
      <c r="H15" s="20">
        <v>13700</v>
      </c>
    </row>
    <row r="16" spans="1:18" ht="52.65" customHeight="1">
      <c r="A16" s="28">
        <v>9</v>
      </c>
      <c r="B16" s="6"/>
      <c r="C16" s="18" t="s">
        <v>49</v>
      </c>
      <c r="D16" s="18" t="s">
        <v>50</v>
      </c>
      <c r="E16" s="19" t="s">
        <v>51</v>
      </c>
      <c r="F16" s="18">
        <v>6</v>
      </c>
      <c r="G16" s="18" t="s">
        <v>29</v>
      </c>
      <c r="H16" s="20">
        <v>13700</v>
      </c>
    </row>
    <row r="17" spans="1:8" ht="40.799999999999997">
      <c r="A17" s="28">
        <v>10</v>
      </c>
      <c r="B17" s="6"/>
      <c r="C17" s="18" t="s">
        <v>52</v>
      </c>
      <c r="D17" s="18" t="s">
        <v>53</v>
      </c>
      <c r="E17" s="27" t="s">
        <v>54</v>
      </c>
      <c r="F17" s="18">
        <v>2</v>
      </c>
      <c r="G17" s="18" t="s">
        <v>29</v>
      </c>
      <c r="H17" s="20">
        <v>16200</v>
      </c>
    </row>
    <row r="18" spans="1:8" ht="61.2">
      <c r="A18" s="29">
        <v>11</v>
      </c>
      <c r="B18" s="6"/>
      <c r="C18" s="27" t="s">
        <v>55</v>
      </c>
      <c r="D18" s="27" t="s">
        <v>56</v>
      </c>
      <c r="E18" s="27" t="s">
        <v>57</v>
      </c>
      <c r="F18" s="27">
        <v>8</v>
      </c>
      <c r="G18" s="27" t="s">
        <v>58</v>
      </c>
      <c r="H18" s="30">
        <v>38400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0A65-348E-4029-A3DF-4337670002FD}">
  <dimension ref="A1:H9"/>
  <sheetViews>
    <sheetView workbookViewId="0">
      <selection activeCell="H1" sqref="H1"/>
    </sheetView>
  </sheetViews>
  <sheetFormatPr defaultRowHeight="13.2"/>
  <cols>
    <col min="1" max="1" width="8.88671875" style="57"/>
    <col min="2" max="2" width="17.109375" style="57" customWidth="1"/>
    <col min="3" max="3" width="25.5546875" style="57" customWidth="1"/>
    <col min="4" max="4" width="8.88671875" style="57"/>
    <col min="5" max="5" width="31.88671875" style="57" customWidth="1"/>
    <col min="6" max="6" width="8.88671875" style="57"/>
    <col min="7" max="7" width="20.77734375" style="57" customWidth="1"/>
    <col min="8" max="8" width="15.5546875" style="57" customWidth="1"/>
    <col min="9" max="16384" width="8.88671875" style="57"/>
  </cols>
  <sheetData>
    <row r="1" spans="1:8">
      <c r="A1" s="54" t="s">
        <v>285</v>
      </c>
      <c r="B1" s="54" t="s">
        <v>206</v>
      </c>
      <c r="C1" s="54" t="s">
        <v>210</v>
      </c>
      <c r="D1" s="54" t="s">
        <v>211</v>
      </c>
      <c r="E1" s="54" t="s">
        <v>212</v>
      </c>
      <c r="F1" s="54" t="s">
        <v>207</v>
      </c>
      <c r="G1" s="54" t="s">
        <v>286</v>
      </c>
      <c r="H1" s="38" t="s">
        <v>298</v>
      </c>
    </row>
    <row r="2" spans="1:8" ht="49.95" customHeight="1">
      <c r="A2" s="56">
        <v>1</v>
      </c>
      <c r="B2" s="56"/>
      <c r="C2" s="56" t="s">
        <v>271</v>
      </c>
      <c r="D2" s="56" t="s">
        <v>272</v>
      </c>
      <c r="E2" s="56" t="s">
        <v>277</v>
      </c>
      <c r="F2" s="56" t="s">
        <v>208</v>
      </c>
      <c r="G2" s="56" t="s">
        <v>208</v>
      </c>
      <c r="H2" s="56">
        <v>1532</v>
      </c>
    </row>
    <row r="3" spans="1:8" ht="45" customHeight="1">
      <c r="A3" s="56">
        <v>2</v>
      </c>
      <c r="B3" s="56"/>
      <c r="C3" s="56" t="s">
        <v>273</v>
      </c>
      <c r="D3" s="56" t="s">
        <v>274</v>
      </c>
      <c r="E3" s="56" t="s">
        <v>279</v>
      </c>
      <c r="F3" s="56" t="s">
        <v>208</v>
      </c>
      <c r="G3" s="56" t="s">
        <v>208</v>
      </c>
      <c r="H3" s="56">
        <v>1613</v>
      </c>
    </row>
    <row r="4" spans="1:8" ht="49.95" customHeight="1">
      <c r="A4" s="56">
        <v>3</v>
      </c>
      <c r="B4" s="56"/>
      <c r="C4" s="56" t="s">
        <v>275</v>
      </c>
      <c r="D4" s="56" t="s">
        <v>276</v>
      </c>
      <c r="E4" s="56" t="s">
        <v>278</v>
      </c>
      <c r="F4" s="56" t="s">
        <v>208</v>
      </c>
      <c r="G4" s="56" t="s">
        <v>208</v>
      </c>
      <c r="H4" s="56">
        <v>2339</v>
      </c>
    </row>
    <row r="5" spans="1:8" ht="49.95" customHeight="1">
      <c r="A5" s="56">
        <v>4</v>
      </c>
      <c r="B5" s="56"/>
      <c r="C5" s="56" t="s">
        <v>280</v>
      </c>
      <c r="D5" s="56"/>
      <c r="E5" s="56" t="s">
        <v>281</v>
      </c>
      <c r="F5" s="56" t="s">
        <v>208</v>
      </c>
      <c r="G5" s="56" t="s">
        <v>208</v>
      </c>
      <c r="H5" s="56">
        <v>133</v>
      </c>
    </row>
    <row r="6" spans="1:8" ht="49.95" customHeight="1">
      <c r="A6" s="56">
        <v>5</v>
      </c>
      <c r="B6" s="56"/>
      <c r="C6" s="55" t="s">
        <v>282</v>
      </c>
      <c r="D6" s="56"/>
      <c r="E6" s="56"/>
      <c r="F6" s="56"/>
      <c r="G6" s="56"/>
      <c r="H6" s="53">
        <v>1666</v>
      </c>
    </row>
    <row r="7" spans="1:8" ht="49.95" customHeight="1">
      <c r="A7" s="56">
        <v>6</v>
      </c>
      <c r="B7" s="56"/>
      <c r="C7" s="55" t="s">
        <v>283</v>
      </c>
      <c r="D7" s="56"/>
      <c r="E7" s="56"/>
      <c r="F7" s="56"/>
      <c r="G7" s="56"/>
      <c r="H7" s="53">
        <v>2884</v>
      </c>
    </row>
    <row r="8" spans="1:8" ht="49.95" customHeight="1">
      <c r="A8" s="56">
        <v>7</v>
      </c>
      <c r="B8" s="56"/>
      <c r="C8" s="55" t="s">
        <v>284</v>
      </c>
      <c r="D8" s="56"/>
      <c r="E8" s="56"/>
      <c r="F8" s="56"/>
      <c r="G8" s="56"/>
      <c r="H8" s="53">
        <v>376</v>
      </c>
    </row>
    <row r="9" spans="1:8" ht="49.95" customHeight="1">
      <c r="A9" s="56">
        <v>8</v>
      </c>
      <c r="B9" s="56"/>
      <c r="C9" s="55" t="s">
        <v>284</v>
      </c>
      <c r="D9" s="56"/>
      <c r="E9" s="56"/>
      <c r="F9" s="56"/>
      <c r="G9" s="56"/>
      <c r="H9" s="53">
        <v>376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0E78-DFCA-4A86-A762-DDAD9BF5F821}">
  <dimension ref="A1:G17"/>
  <sheetViews>
    <sheetView workbookViewId="0">
      <selection activeCell="G1" sqref="G1"/>
    </sheetView>
  </sheetViews>
  <sheetFormatPr defaultRowHeight="13.2"/>
  <cols>
    <col min="2" max="2" width="19.5546875" customWidth="1"/>
    <col min="3" max="3" width="14.109375" bestFit="1" customWidth="1"/>
    <col min="4" max="4" width="10.88671875" bestFit="1" customWidth="1"/>
    <col min="5" max="5" width="19.77734375" bestFit="1" customWidth="1"/>
    <col min="6" max="6" width="9.88671875" bestFit="1" customWidth="1"/>
    <col min="7" max="7" width="13.5546875" bestFit="1" customWidth="1"/>
  </cols>
  <sheetData>
    <row r="1" spans="1:7" ht="16.8">
      <c r="A1" s="47" t="s">
        <v>209</v>
      </c>
      <c r="B1" s="47" t="s">
        <v>206</v>
      </c>
      <c r="C1" s="47" t="s">
        <v>210</v>
      </c>
      <c r="D1" s="47" t="s">
        <v>211</v>
      </c>
      <c r="E1" s="47" t="s">
        <v>212</v>
      </c>
      <c r="F1" s="47" t="s">
        <v>207</v>
      </c>
      <c r="G1" s="38" t="s">
        <v>298</v>
      </c>
    </row>
    <row r="2" spans="1:7" ht="43.2">
      <c r="A2" s="48">
        <v>1</v>
      </c>
      <c r="B2" s="49"/>
      <c r="C2" s="50" t="s">
        <v>213</v>
      </c>
      <c r="D2" s="50" t="s">
        <v>214</v>
      </c>
      <c r="E2" s="50" t="s">
        <v>215</v>
      </c>
      <c r="F2" s="50" t="s">
        <v>216</v>
      </c>
      <c r="G2" s="51">
        <v>7400</v>
      </c>
    </row>
    <row r="3" spans="1:7" ht="43.2">
      <c r="A3" s="48">
        <v>2</v>
      </c>
      <c r="B3" s="49"/>
      <c r="C3" s="50" t="s">
        <v>217</v>
      </c>
      <c r="D3" s="50" t="s">
        <v>218</v>
      </c>
      <c r="E3" s="50" t="s">
        <v>219</v>
      </c>
      <c r="F3" s="50" t="s">
        <v>216</v>
      </c>
      <c r="G3" s="51">
        <v>6600</v>
      </c>
    </row>
    <row r="4" spans="1:7" ht="57" customHeight="1">
      <c r="A4" s="48">
        <v>3</v>
      </c>
      <c r="B4" s="49"/>
      <c r="C4" s="50" t="s">
        <v>220</v>
      </c>
      <c r="D4" s="50" t="s">
        <v>221</v>
      </c>
      <c r="E4" s="49" t="s">
        <v>222</v>
      </c>
      <c r="F4" s="50" t="s">
        <v>223</v>
      </c>
      <c r="G4" s="51">
        <v>9100</v>
      </c>
    </row>
    <row r="5" spans="1:7" ht="43.2">
      <c r="A5" s="48">
        <v>4</v>
      </c>
      <c r="B5" s="49"/>
      <c r="C5" s="50" t="s">
        <v>224</v>
      </c>
      <c r="D5" s="50" t="s">
        <v>225</v>
      </c>
      <c r="E5" s="50" t="s">
        <v>226</v>
      </c>
      <c r="F5" s="50" t="s">
        <v>223</v>
      </c>
      <c r="G5" s="51">
        <v>9200</v>
      </c>
    </row>
    <row r="6" spans="1:7" ht="43.2">
      <c r="A6" s="48">
        <v>5</v>
      </c>
      <c r="B6" s="49"/>
      <c r="C6" s="50" t="s">
        <v>227</v>
      </c>
      <c r="D6" s="50" t="s">
        <v>228</v>
      </c>
      <c r="E6" s="50" t="s">
        <v>229</v>
      </c>
      <c r="F6" s="50" t="s">
        <v>223</v>
      </c>
      <c r="G6" s="51">
        <v>9200</v>
      </c>
    </row>
    <row r="7" spans="1:7" ht="51" customHeight="1">
      <c r="A7" s="48">
        <v>6</v>
      </c>
      <c r="B7" s="49"/>
      <c r="C7" s="50" t="s">
        <v>230</v>
      </c>
      <c r="D7" s="50" t="s">
        <v>231</v>
      </c>
      <c r="E7" s="52" t="s">
        <v>232</v>
      </c>
      <c r="F7" s="50" t="s">
        <v>223</v>
      </c>
      <c r="G7" s="51">
        <v>9200</v>
      </c>
    </row>
    <row r="8" spans="1:7" ht="43.2">
      <c r="A8" s="48">
        <v>7</v>
      </c>
      <c r="B8" s="49"/>
      <c r="C8" s="50" t="s">
        <v>233</v>
      </c>
      <c r="D8" s="52" t="s">
        <v>234</v>
      </c>
      <c r="E8" s="50" t="s">
        <v>235</v>
      </c>
      <c r="F8" s="50" t="s">
        <v>236</v>
      </c>
      <c r="G8" s="51">
        <v>11500</v>
      </c>
    </row>
    <row r="9" spans="1:7" ht="43.2">
      <c r="A9" s="48">
        <v>8</v>
      </c>
      <c r="B9" s="49"/>
      <c r="C9" s="52" t="s">
        <v>237</v>
      </c>
      <c r="D9" s="50" t="s">
        <v>238</v>
      </c>
      <c r="E9" s="50" t="s">
        <v>239</v>
      </c>
      <c r="F9" s="50" t="s">
        <v>236</v>
      </c>
      <c r="G9" s="51">
        <v>11500</v>
      </c>
    </row>
    <row r="10" spans="1:7" ht="43.2">
      <c r="A10" s="48">
        <v>9</v>
      </c>
      <c r="B10" s="49"/>
      <c r="C10" s="50" t="s">
        <v>240</v>
      </c>
      <c r="D10" s="50" t="s">
        <v>241</v>
      </c>
      <c r="E10" s="50" t="s">
        <v>242</v>
      </c>
      <c r="F10" s="50" t="s">
        <v>236</v>
      </c>
      <c r="G10" s="51">
        <v>10600</v>
      </c>
    </row>
    <row r="11" spans="1:7" ht="51" customHeight="1">
      <c r="A11" s="48">
        <v>10</v>
      </c>
      <c r="B11" s="49"/>
      <c r="C11" s="50" t="s">
        <v>243</v>
      </c>
      <c r="D11" s="50" t="s">
        <v>244</v>
      </c>
      <c r="E11" s="50" t="s">
        <v>245</v>
      </c>
      <c r="F11" s="50" t="s">
        <v>236</v>
      </c>
      <c r="G11" s="51">
        <v>13400</v>
      </c>
    </row>
    <row r="12" spans="1:7" ht="45.6" customHeight="1">
      <c r="A12" s="48">
        <v>11</v>
      </c>
      <c r="B12" s="49"/>
      <c r="C12" s="50" t="s">
        <v>246</v>
      </c>
      <c r="D12" s="50" t="s">
        <v>247</v>
      </c>
      <c r="E12" s="49" t="s">
        <v>248</v>
      </c>
      <c r="F12" s="50" t="s">
        <v>249</v>
      </c>
      <c r="G12" s="51">
        <v>10600</v>
      </c>
    </row>
    <row r="13" spans="1:7" ht="43.2">
      <c r="A13" s="48">
        <v>12</v>
      </c>
      <c r="B13" s="49"/>
      <c r="C13" s="50" t="s">
        <v>250</v>
      </c>
      <c r="D13" s="50" t="s">
        <v>251</v>
      </c>
      <c r="E13" s="50" t="s">
        <v>252</v>
      </c>
      <c r="F13" s="50" t="s">
        <v>249</v>
      </c>
      <c r="G13" s="51">
        <v>11500</v>
      </c>
    </row>
    <row r="14" spans="1:7" ht="43.2">
      <c r="A14" s="48">
        <v>13</v>
      </c>
      <c r="B14" s="49"/>
      <c r="C14" s="50" t="s">
        <v>253</v>
      </c>
      <c r="D14" s="50" t="s">
        <v>254</v>
      </c>
      <c r="E14" s="50" t="s">
        <v>255</v>
      </c>
      <c r="F14" s="50" t="s">
        <v>256</v>
      </c>
      <c r="G14" s="51">
        <v>10900</v>
      </c>
    </row>
    <row r="15" spans="1:7" ht="57" customHeight="1">
      <c r="A15" s="48">
        <v>14</v>
      </c>
      <c r="B15" s="49"/>
      <c r="C15" s="50" t="s">
        <v>257</v>
      </c>
      <c r="D15" s="50" t="s">
        <v>258</v>
      </c>
      <c r="E15" s="52" t="s">
        <v>259</v>
      </c>
      <c r="F15" s="50" t="s">
        <v>260</v>
      </c>
      <c r="G15" s="51">
        <v>15900</v>
      </c>
    </row>
    <row r="16" spans="1:7" ht="51" customHeight="1">
      <c r="A16" s="48">
        <v>15</v>
      </c>
      <c r="B16" s="49"/>
      <c r="C16" s="52" t="s">
        <v>261</v>
      </c>
      <c r="D16" s="50" t="s">
        <v>262</v>
      </c>
      <c r="E16" s="52" t="s">
        <v>263</v>
      </c>
      <c r="F16" s="50" t="s">
        <v>260</v>
      </c>
      <c r="G16" s="51">
        <v>15900</v>
      </c>
    </row>
    <row r="17" spans="1:7" ht="53.4" customHeight="1">
      <c r="A17" s="48">
        <v>16</v>
      </c>
      <c r="B17" s="49"/>
      <c r="C17" s="50" t="s">
        <v>264</v>
      </c>
      <c r="D17" s="50" t="s">
        <v>265</v>
      </c>
      <c r="E17" s="50" t="s">
        <v>266</v>
      </c>
      <c r="F17" s="50" t="s">
        <v>267</v>
      </c>
      <c r="G17" s="51">
        <v>14500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H1" sqref="H1"/>
    </sheetView>
  </sheetViews>
  <sheetFormatPr defaultColWidth="9.109375" defaultRowHeight="13.2"/>
  <cols>
    <col min="1" max="1" width="7.33203125" style="17" customWidth="1"/>
    <col min="2" max="2" width="17.5546875" style="17" customWidth="1"/>
    <col min="3" max="3" width="14.88671875" style="17" customWidth="1"/>
    <col min="4" max="4" width="16.88671875" style="17" customWidth="1"/>
    <col min="5" max="5" width="21.33203125" style="17" customWidth="1"/>
    <col min="6" max="6" width="10.21875" style="17" customWidth="1"/>
    <col min="7" max="8" width="16.44140625" style="17" customWidth="1"/>
    <col min="9" max="16384" width="9.109375" style="17"/>
  </cols>
  <sheetData>
    <row r="1" spans="1:8" ht="50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1" t="s">
        <v>207</v>
      </c>
      <c r="G1" s="16" t="s">
        <v>6</v>
      </c>
      <c r="H1" s="38" t="s">
        <v>298</v>
      </c>
    </row>
    <row r="2" spans="1:8" ht="50.25" customHeight="1">
      <c r="A2" s="28">
        <v>1</v>
      </c>
      <c r="B2" s="6"/>
      <c r="C2" s="18" t="s">
        <v>59</v>
      </c>
      <c r="D2" s="18" t="s">
        <v>60</v>
      </c>
      <c r="E2" s="18" t="s">
        <v>61</v>
      </c>
      <c r="F2" s="18" t="s">
        <v>62</v>
      </c>
      <c r="G2" s="18" t="s">
        <v>29</v>
      </c>
      <c r="H2" s="20">
        <v>10300</v>
      </c>
    </row>
    <row r="3" spans="1:8" ht="50.25" customHeight="1">
      <c r="A3" s="28">
        <v>2</v>
      </c>
      <c r="B3" s="6"/>
      <c r="C3" s="18" t="s">
        <v>26</v>
      </c>
      <c r="D3" s="18" t="s">
        <v>63</v>
      </c>
      <c r="E3" s="19" t="s">
        <v>28</v>
      </c>
      <c r="F3" s="28">
        <v>2</v>
      </c>
      <c r="G3" s="18" t="s">
        <v>29</v>
      </c>
      <c r="H3" s="20">
        <v>5300</v>
      </c>
    </row>
    <row r="4" spans="1:8" ht="50.25" customHeight="1">
      <c r="A4" s="28">
        <v>3</v>
      </c>
      <c r="B4" s="6"/>
      <c r="C4" s="18" t="s">
        <v>30</v>
      </c>
      <c r="D4" s="18" t="s">
        <v>64</v>
      </c>
      <c r="E4" s="18" t="s">
        <v>32</v>
      </c>
      <c r="F4" s="28">
        <v>4</v>
      </c>
      <c r="G4" s="18" t="s">
        <v>29</v>
      </c>
      <c r="H4" s="20">
        <v>7500</v>
      </c>
    </row>
    <row r="5" spans="1:8" ht="50.25" customHeight="1">
      <c r="A5" s="28">
        <v>4</v>
      </c>
      <c r="B5" s="6"/>
      <c r="C5" s="18" t="s">
        <v>33</v>
      </c>
      <c r="D5" s="18" t="s">
        <v>65</v>
      </c>
      <c r="E5" s="21" t="s">
        <v>35</v>
      </c>
      <c r="F5" s="28">
        <v>4</v>
      </c>
      <c r="G5" s="18" t="s">
        <v>29</v>
      </c>
      <c r="H5" s="20">
        <v>7500</v>
      </c>
    </row>
    <row r="6" spans="1:8" ht="50.25" customHeight="1">
      <c r="A6" s="28">
        <v>5</v>
      </c>
      <c r="B6" s="6"/>
      <c r="C6" s="18" t="s">
        <v>41</v>
      </c>
      <c r="D6" s="18" t="s">
        <v>42</v>
      </c>
      <c r="E6" s="18" t="s">
        <v>43</v>
      </c>
      <c r="F6" s="28">
        <v>6</v>
      </c>
      <c r="G6" s="18" t="s">
        <v>29</v>
      </c>
      <c r="H6" s="20">
        <v>9600</v>
      </c>
    </row>
    <row r="7" spans="1:8" ht="50.25" customHeight="1">
      <c r="A7" s="28">
        <v>6</v>
      </c>
      <c r="B7" s="6"/>
      <c r="C7" s="18" t="s">
        <v>44</v>
      </c>
      <c r="D7" s="18" t="s">
        <v>45</v>
      </c>
      <c r="E7" s="19" t="s">
        <v>66</v>
      </c>
      <c r="F7" s="28">
        <v>6</v>
      </c>
      <c r="G7" s="18" t="s">
        <v>29</v>
      </c>
      <c r="H7" s="20">
        <v>9600</v>
      </c>
    </row>
    <row r="8" spans="1:8" ht="50.25" customHeight="1"/>
    <row r="9" spans="1:8" ht="50.25" customHeight="1"/>
    <row r="10" spans="1:8" ht="50.25" customHeight="1"/>
    <row r="11" spans="1:8" ht="50.25" customHeight="1"/>
    <row r="12" spans="1:8" ht="50.25" customHeight="1"/>
    <row r="13" spans="1:8" ht="50.25" customHeight="1"/>
    <row r="14" spans="1:8" ht="55.95" customHeight="1"/>
    <row r="15" spans="1:8" ht="50.25" customHeigh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0DFA-A897-4E62-A93D-F34D61ACCF18}">
  <dimension ref="A1:H4"/>
  <sheetViews>
    <sheetView workbookViewId="0">
      <selection activeCell="H1" sqref="H1"/>
    </sheetView>
  </sheetViews>
  <sheetFormatPr defaultRowHeight="13.2"/>
  <cols>
    <col min="2" max="2" width="15.21875" customWidth="1"/>
  </cols>
  <sheetData>
    <row r="1" spans="1:8" ht="28.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1" t="s">
        <v>207</v>
      </c>
      <c r="G1" s="16" t="s">
        <v>6</v>
      </c>
      <c r="H1" s="38" t="s">
        <v>298</v>
      </c>
    </row>
    <row r="2" spans="1:8" ht="56.4" customHeight="1">
      <c r="A2" s="32">
        <v>1</v>
      </c>
      <c r="B2" s="6"/>
      <c r="C2" s="18" t="s">
        <v>67</v>
      </c>
      <c r="D2" s="18" t="s">
        <v>68</v>
      </c>
      <c r="E2" s="33" t="s">
        <v>297</v>
      </c>
      <c r="F2" s="28">
        <v>8</v>
      </c>
      <c r="G2" s="18" t="s">
        <v>29</v>
      </c>
      <c r="H2" s="20">
        <v>8700</v>
      </c>
    </row>
    <row r="3" spans="1:8" ht="71.400000000000006">
      <c r="A3" s="32">
        <v>2</v>
      </c>
      <c r="B3" s="6"/>
      <c r="C3" s="18" t="s">
        <v>69</v>
      </c>
      <c r="D3" s="18" t="s">
        <v>70</v>
      </c>
      <c r="E3" s="27" t="s">
        <v>71</v>
      </c>
      <c r="F3" s="28">
        <v>8</v>
      </c>
      <c r="G3" s="18" t="s">
        <v>29</v>
      </c>
      <c r="H3" s="20">
        <v>8700</v>
      </c>
    </row>
    <row r="4" spans="1:8" ht="56.4" customHeight="1">
      <c r="A4" s="32">
        <v>13</v>
      </c>
      <c r="B4" s="6"/>
      <c r="C4" s="18" t="s">
        <v>268</v>
      </c>
      <c r="D4" s="18" t="s">
        <v>269</v>
      </c>
      <c r="E4" s="21" t="s">
        <v>72</v>
      </c>
      <c r="F4" s="28">
        <v>6</v>
      </c>
      <c r="G4" s="18" t="s">
        <v>29</v>
      </c>
      <c r="H4" s="20">
        <v>8700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topLeftCell="A4" workbookViewId="0">
      <selection activeCell="H3" sqref="H3"/>
    </sheetView>
  </sheetViews>
  <sheetFormatPr defaultRowHeight="13.2"/>
  <cols>
    <col min="1" max="1" width="6.6640625" customWidth="1"/>
    <col min="2" max="2" width="20" customWidth="1"/>
    <col min="3" max="3" width="19.77734375" customWidth="1"/>
    <col min="4" max="4" width="17.5546875" customWidth="1"/>
    <col min="5" max="5" width="19.5546875" customWidth="1"/>
    <col min="6" max="6" width="8.88671875" customWidth="1"/>
    <col min="7" max="7" width="15.109375" customWidth="1"/>
    <col min="8" max="8" width="15.33203125" customWidth="1"/>
  </cols>
  <sheetData>
    <row r="1" spans="1:12" ht="46.0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73</v>
      </c>
      <c r="H1" s="38" t="s">
        <v>298</v>
      </c>
    </row>
    <row r="2" spans="1:12" ht="46.05" customHeight="1">
      <c r="A2" s="5">
        <v>1</v>
      </c>
      <c r="B2" s="6"/>
      <c r="C2" s="7" t="s">
        <v>74</v>
      </c>
      <c r="D2" s="8" t="s">
        <v>75</v>
      </c>
      <c r="E2" s="8" t="s">
        <v>76</v>
      </c>
      <c r="F2" s="9" t="s">
        <v>77</v>
      </c>
      <c r="G2" s="8" t="s">
        <v>78</v>
      </c>
      <c r="H2" s="10">
        <v>3418</v>
      </c>
    </row>
    <row r="3" spans="1:12" ht="46.05" customHeight="1">
      <c r="A3" s="5">
        <v>2</v>
      </c>
      <c r="B3" s="6"/>
      <c r="C3" s="7" t="s">
        <v>79</v>
      </c>
      <c r="D3" s="8" t="s">
        <v>80</v>
      </c>
      <c r="E3" s="8" t="s">
        <v>81</v>
      </c>
      <c r="F3" s="9" t="s">
        <v>77</v>
      </c>
      <c r="G3" s="8" t="s">
        <v>78</v>
      </c>
      <c r="H3" s="10">
        <v>2563</v>
      </c>
    </row>
    <row r="4" spans="1:12" ht="46.05" customHeight="1">
      <c r="A4" s="5">
        <v>3</v>
      </c>
      <c r="B4" s="6"/>
      <c r="C4" s="11" t="s">
        <v>82</v>
      </c>
      <c r="D4" s="8" t="s">
        <v>83</v>
      </c>
      <c r="E4" s="8" t="s">
        <v>84</v>
      </c>
      <c r="F4" s="9" t="s">
        <v>77</v>
      </c>
      <c r="G4" s="8" t="s">
        <v>10</v>
      </c>
      <c r="H4" s="10">
        <v>4272</v>
      </c>
    </row>
    <row r="5" spans="1:12" ht="46.05" customHeight="1">
      <c r="A5" s="5">
        <v>4</v>
      </c>
      <c r="B5" s="6"/>
      <c r="C5" s="8" t="s">
        <v>85</v>
      </c>
      <c r="D5" s="8" t="s">
        <v>86</v>
      </c>
      <c r="E5" s="8" t="s">
        <v>87</v>
      </c>
      <c r="F5" s="9" t="s">
        <v>77</v>
      </c>
      <c r="G5" s="8" t="s">
        <v>10</v>
      </c>
      <c r="H5" s="10">
        <v>12816</v>
      </c>
    </row>
    <row r="6" spans="1:12" ht="46.05" customHeight="1">
      <c r="A6" s="5">
        <v>5</v>
      </c>
      <c r="B6" s="6"/>
      <c r="C6" s="8" t="s">
        <v>88</v>
      </c>
      <c r="D6" s="8" t="s">
        <v>89</v>
      </c>
      <c r="E6" s="8" t="s">
        <v>90</v>
      </c>
      <c r="F6" s="9" t="s">
        <v>77</v>
      </c>
      <c r="G6" s="8" t="s">
        <v>78</v>
      </c>
      <c r="H6" s="10">
        <v>48060</v>
      </c>
    </row>
    <row r="7" spans="1:12" ht="46.05" customHeight="1">
      <c r="A7" s="5">
        <v>6</v>
      </c>
      <c r="B7" s="6"/>
      <c r="C7" s="11" t="s">
        <v>91</v>
      </c>
      <c r="D7" s="8" t="s">
        <v>92</v>
      </c>
      <c r="E7" s="8" t="s">
        <v>93</v>
      </c>
      <c r="F7" s="9" t="s">
        <v>77</v>
      </c>
      <c r="G7" s="8" t="s">
        <v>78</v>
      </c>
      <c r="H7" s="10">
        <v>8544</v>
      </c>
    </row>
    <row r="8" spans="1:12" ht="46.05" customHeight="1">
      <c r="A8" s="5">
        <v>7</v>
      </c>
      <c r="B8" s="6"/>
      <c r="C8" s="12" t="s">
        <v>287</v>
      </c>
      <c r="D8" s="8" t="s">
        <v>94</v>
      </c>
      <c r="E8" s="8" t="s">
        <v>289</v>
      </c>
      <c r="F8" s="9" t="s">
        <v>77</v>
      </c>
      <c r="G8" s="8" t="s">
        <v>10</v>
      </c>
      <c r="H8" s="10">
        <v>8544</v>
      </c>
      <c r="J8" s="58"/>
      <c r="K8" s="58"/>
      <c r="L8" s="58"/>
    </row>
    <row r="9" spans="1:12" ht="46.05" customHeight="1">
      <c r="A9" s="5">
        <v>8</v>
      </c>
      <c r="B9" s="6"/>
      <c r="C9" s="8" t="s">
        <v>95</v>
      </c>
      <c r="D9" s="8" t="s">
        <v>96</v>
      </c>
      <c r="E9" s="8" t="s">
        <v>290</v>
      </c>
      <c r="F9" s="9" t="s">
        <v>77</v>
      </c>
      <c r="G9" s="8" t="s">
        <v>10</v>
      </c>
      <c r="H9" s="10">
        <v>1794</v>
      </c>
      <c r="J9" s="58"/>
      <c r="K9" s="58"/>
      <c r="L9" s="58"/>
    </row>
    <row r="10" spans="1:12" ht="46.05" customHeight="1">
      <c r="A10" s="5">
        <v>9</v>
      </c>
      <c r="B10" s="6"/>
      <c r="C10" s="8" t="s">
        <v>288</v>
      </c>
      <c r="D10" s="8"/>
      <c r="E10" s="8" t="s">
        <v>291</v>
      </c>
      <c r="F10" s="9" t="s">
        <v>208</v>
      </c>
      <c r="G10" s="8" t="s">
        <v>292</v>
      </c>
      <c r="H10" s="10">
        <v>18882</v>
      </c>
      <c r="J10" s="58"/>
      <c r="K10" s="58"/>
      <c r="L10" s="58"/>
    </row>
    <row r="11" spans="1:12" ht="46.05" customHeight="1">
      <c r="A11" s="5">
        <v>10</v>
      </c>
      <c r="B11" s="6"/>
      <c r="C11" s="8" t="s">
        <v>97</v>
      </c>
      <c r="D11" s="8" t="s">
        <v>98</v>
      </c>
      <c r="E11" s="8" t="s">
        <v>99</v>
      </c>
      <c r="F11" s="9" t="s">
        <v>77</v>
      </c>
      <c r="G11" s="8" t="s">
        <v>100</v>
      </c>
      <c r="H11" s="10">
        <v>25205</v>
      </c>
    </row>
    <row r="12" spans="1:12" ht="46.05" customHeight="1">
      <c r="A12" s="5">
        <v>11</v>
      </c>
      <c r="B12" s="6"/>
      <c r="C12" s="8" t="s">
        <v>101</v>
      </c>
      <c r="D12" s="8" t="s">
        <v>102</v>
      </c>
      <c r="E12" s="8" t="s">
        <v>103</v>
      </c>
      <c r="F12" s="9" t="s">
        <v>77</v>
      </c>
      <c r="G12" s="8" t="s">
        <v>104</v>
      </c>
      <c r="H12" s="10">
        <v>40050</v>
      </c>
    </row>
    <row r="13" spans="1:12" ht="46.05" customHeight="1">
      <c r="A13" s="5">
        <v>12</v>
      </c>
      <c r="B13" s="6"/>
      <c r="C13" s="8" t="s">
        <v>105</v>
      </c>
      <c r="D13" s="8" t="s">
        <v>106</v>
      </c>
      <c r="E13" s="8" t="s">
        <v>103</v>
      </c>
      <c r="F13" s="9" t="s">
        <v>77</v>
      </c>
      <c r="G13" s="8" t="s">
        <v>104</v>
      </c>
      <c r="H13" s="10">
        <v>66750</v>
      </c>
    </row>
    <row r="14" spans="1:12" ht="53.55" customHeight="1">
      <c r="A14" s="5">
        <v>13</v>
      </c>
      <c r="B14" s="6"/>
      <c r="C14" s="8" t="s">
        <v>107</v>
      </c>
      <c r="D14" s="9" t="s">
        <v>108</v>
      </c>
      <c r="E14" s="13" t="s">
        <v>109</v>
      </c>
      <c r="F14" s="9" t="s">
        <v>77</v>
      </c>
      <c r="G14" s="8" t="s">
        <v>110</v>
      </c>
      <c r="H14" s="10">
        <v>42293</v>
      </c>
    </row>
    <row r="15" spans="1:12" ht="53.55" customHeight="1">
      <c r="A15" s="5">
        <v>14</v>
      </c>
      <c r="B15" s="6"/>
      <c r="C15" s="8" t="s">
        <v>111</v>
      </c>
      <c r="D15" s="14" t="s">
        <v>112</v>
      </c>
      <c r="E15" s="15" t="s">
        <v>113</v>
      </c>
      <c r="F15" s="9" t="s">
        <v>77</v>
      </c>
      <c r="G15" s="8" t="s">
        <v>110</v>
      </c>
      <c r="H15" s="10">
        <v>13083</v>
      </c>
    </row>
    <row r="16" spans="1:12" ht="53.55" customHeight="1">
      <c r="A16" s="5">
        <v>15</v>
      </c>
      <c r="B16" s="6"/>
      <c r="C16" s="8" t="s">
        <v>114</v>
      </c>
      <c r="D16" s="8" t="s">
        <v>115</v>
      </c>
      <c r="E16" s="8" t="s">
        <v>116</v>
      </c>
      <c r="F16" s="9" t="s">
        <v>77</v>
      </c>
      <c r="G16" s="8" t="s">
        <v>110</v>
      </c>
      <c r="H16" s="10">
        <v>2884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tabSelected="1" topLeftCell="A13" workbookViewId="0">
      <selection activeCell="E16" sqref="E16"/>
    </sheetView>
  </sheetViews>
  <sheetFormatPr defaultRowHeight="13.2"/>
  <cols>
    <col min="1" max="1" width="6.6640625" customWidth="1"/>
    <col min="2" max="2" width="20.44140625" customWidth="1"/>
    <col min="3" max="3" width="18.21875" customWidth="1"/>
    <col min="4" max="4" width="19.109375" customWidth="1"/>
    <col min="5" max="5" width="20.21875" customWidth="1"/>
    <col min="6" max="6" width="8.88671875" customWidth="1"/>
    <col min="7" max="7" width="14.6640625" customWidth="1"/>
    <col min="8" max="8" width="14.88671875" customWidth="1"/>
  </cols>
  <sheetData>
    <row r="1" spans="1:8" ht="44.7" customHeight="1">
      <c r="A1" s="34" t="s">
        <v>117</v>
      </c>
      <c r="B1" s="35" t="s">
        <v>206</v>
      </c>
      <c r="C1" s="34" t="s">
        <v>118</v>
      </c>
      <c r="D1" s="34" t="s">
        <v>119</v>
      </c>
      <c r="E1" s="34" t="s">
        <v>120</v>
      </c>
      <c r="F1" s="36" t="s">
        <v>121</v>
      </c>
      <c r="G1" s="37" t="s">
        <v>122</v>
      </c>
      <c r="H1" s="38" t="s">
        <v>298</v>
      </c>
    </row>
    <row r="2" spans="1:8" ht="44.7" customHeight="1">
      <c r="A2" s="39">
        <v>1</v>
      </c>
      <c r="B2" s="6"/>
      <c r="C2" s="40" t="s">
        <v>293</v>
      </c>
      <c r="D2" s="41" t="s">
        <v>123</v>
      </c>
      <c r="E2" s="40" t="s">
        <v>124</v>
      </c>
      <c r="F2" s="9" t="s">
        <v>77</v>
      </c>
      <c r="G2" s="41" t="s">
        <v>125</v>
      </c>
      <c r="H2" s="42">
        <f>H53*29156</f>
        <v>32800.5</v>
      </c>
    </row>
    <row r="3" spans="1:8" ht="44.7" customHeight="1">
      <c r="A3" s="39">
        <v>2</v>
      </c>
      <c r="B3" s="6"/>
      <c r="C3" s="43" t="s">
        <v>126</v>
      </c>
      <c r="D3" s="41" t="s">
        <v>127</v>
      </c>
      <c r="E3" s="41" t="s">
        <v>128</v>
      </c>
      <c r="F3" s="9" t="s">
        <v>77</v>
      </c>
      <c r="G3" s="41" t="s">
        <v>125</v>
      </c>
      <c r="H3" s="42">
        <f>H53*13457</f>
        <v>15139.125</v>
      </c>
    </row>
    <row r="4" spans="1:8" ht="44.7" customHeight="1">
      <c r="A4" s="39">
        <v>3</v>
      </c>
      <c r="B4" s="6"/>
      <c r="C4" s="43" t="s">
        <v>294</v>
      </c>
      <c r="D4" s="41"/>
      <c r="E4" s="40" t="s">
        <v>295</v>
      </c>
      <c r="F4" s="9" t="s">
        <v>208</v>
      </c>
      <c r="G4" s="41" t="s">
        <v>296</v>
      </c>
      <c r="H4" s="42">
        <f>H53*29156+H53*13457</f>
        <v>47939.625</v>
      </c>
    </row>
    <row r="5" spans="1:8" ht="44.7" customHeight="1">
      <c r="A5" s="39">
        <v>4</v>
      </c>
      <c r="B5" s="6"/>
      <c r="C5" s="41" t="s">
        <v>129</v>
      </c>
      <c r="D5" s="44" t="s">
        <v>130</v>
      </c>
      <c r="E5" s="41" t="s">
        <v>131</v>
      </c>
      <c r="F5" s="9" t="s">
        <v>77</v>
      </c>
      <c r="G5" s="41" t="s">
        <v>132</v>
      </c>
      <c r="H5" s="42">
        <f>H53*2563</f>
        <v>2883.375</v>
      </c>
    </row>
    <row r="6" spans="1:8" ht="44.7" customHeight="1">
      <c r="A6" s="39">
        <v>5</v>
      </c>
      <c r="B6" s="6"/>
      <c r="C6" s="40" t="s">
        <v>133</v>
      </c>
      <c r="D6" s="44" t="s">
        <v>134</v>
      </c>
      <c r="E6" s="41" t="s">
        <v>135</v>
      </c>
      <c r="F6" s="9" t="s">
        <v>77</v>
      </c>
      <c r="G6" s="41" t="s">
        <v>132</v>
      </c>
      <c r="H6" s="42">
        <f>H53*8010</f>
        <v>9011.25</v>
      </c>
    </row>
    <row r="7" spans="1:8" ht="44.7" customHeight="1">
      <c r="A7" s="39">
        <v>6</v>
      </c>
      <c r="B7" s="6"/>
      <c r="C7" s="43" t="s">
        <v>136</v>
      </c>
      <c r="D7" s="44" t="s">
        <v>137</v>
      </c>
      <c r="E7" s="41" t="s">
        <v>138</v>
      </c>
      <c r="F7" s="9" t="s">
        <v>77</v>
      </c>
      <c r="G7" s="41" t="s">
        <v>139</v>
      </c>
      <c r="H7" s="42">
        <f>H53*7369</f>
        <v>8290.125</v>
      </c>
    </row>
    <row r="8" spans="1:8" ht="44.7" customHeight="1">
      <c r="A8" s="39">
        <v>7</v>
      </c>
      <c r="B8" s="6"/>
      <c r="C8" s="44" t="s">
        <v>140</v>
      </c>
      <c r="D8" s="41" t="s">
        <v>141</v>
      </c>
      <c r="E8" s="41" t="s">
        <v>142</v>
      </c>
      <c r="F8" s="41" t="s">
        <v>143</v>
      </c>
      <c r="G8" s="41" t="s">
        <v>144</v>
      </c>
      <c r="H8" s="42">
        <f>H53*20826</f>
        <v>23429.25</v>
      </c>
    </row>
    <row r="9" spans="1:8" ht="44.7" customHeight="1">
      <c r="A9" s="39">
        <v>8</v>
      </c>
      <c r="B9" s="6"/>
      <c r="C9" s="43" t="s">
        <v>145</v>
      </c>
      <c r="D9" s="41" t="s">
        <v>146</v>
      </c>
      <c r="E9" s="41" t="s">
        <v>147</v>
      </c>
      <c r="F9" s="41" t="s">
        <v>143</v>
      </c>
      <c r="G9" s="41" t="s">
        <v>139</v>
      </c>
      <c r="H9" s="42">
        <f>H53*3418</f>
        <v>3845.25</v>
      </c>
    </row>
    <row r="10" spans="1:8" ht="45" customHeight="1">
      <c r="A10" s="39">
        <v>9</v>
      </c>
      <c r="B10" s="6"/>
      <c r="C10" s="41" t="s">
        <v>148</v>
      </c>
      <c r="D10" s="41" t="s">
        <v>149</v>
      </c>
      <c r="E10" s="43" t="s">
        <v>150</v>
      </c>
      <c r="F10" s="41" t="s">
        <v>143</v>
      </c>
      <c r="G10" s="41" t="s">
        <v>151</v>
      </c>
      <c r="H10" s="42">
        <f>H53*2136</f>
        <v>2403</v>
      </c>
    </row>
    <row r="11" spans="1:8" ht="45" customHeight="1">
      <c r="A11" s="39">
        <v>10</v>
      </c>
      <c r="B11" s="6"/>
      <c r="C11" s="41" t="s">
        <v>152</v>
      </c>
      <c r="D11" s="41" t="s">
        <v>153</v>
      </c>
      <c r="E11" s="9" t="s">
        <v>154</v>
      </c>
      <c r="F11" s="41" t="s">
        <v>143</v>
      </c>
      <c r="G11" s="41" t="s">
        <v>151</v>
      </c>
      <c r="H11" s="42">
        <f>H53*8010</f>
        <v>9011.25</v>
      </c>
    </row>
    <row r="12" spans="1:8" ht="44.55" customHeight="1">
      <c r="A12" s="39">
        <v>11</v>
      </c>
      <c r="B12" s="6"/>
      <c r="C12" s="41" t="s">
        <v>155</v>
      </c>
      <c r="D12" s="41" t="s">
        <v>156</v>
      </c>
      <c r="E12" s="41" t="s">
        <v>157</v>
      </c>
      <c r="F12" s="41" t="s">
        <v>143</v>
      </c>
      <c r="G12" s="41" t="s">
        <v>151</v>
      </c>
      <c r="H12" s="42">
        <f>H53*10573</f>
        <v>11894.625</v>
      </c>
    </row>
    <row r="13" spans="1:8" ht="45" customHeight="1">
      <c r="A13" s="39">
        <v>12</v>
      </c>
      <c r="B13" s="6"/>
      <c r="C13" s="40" t="s">
        <v>158</v>
      </c>
      <c r="D13" s="41" t="s">
        <v>159</v>
      </c>
      <c r="E13" s="41" t="s">
        <v>160</v>
      </c>
      <c r="F13" s="41" t="s">
        <v>143</v>
      </c>
      <c r="G13" s="41" t="s">
        <v>132</v>
      </c>
      <c r="H13" s="42">
        <f>H53*8010</f>
        <v>9011.25</v>
      </c>
    </row>
    <row r="14" spans="1:8" ht="45" customHeight="1">
      <c r="A14" s="39">
        <v>13</v>
      </c>
      <c r="B14" s="6"/>
      <c r="C14" s="41" t="s">
        <v>161</v>
      </c>
      <c r="D14" s="41" t="s">
        <v>162</v>
      </c>
      <c r="E14" s="41" t="s">
        <v>163</v>
      </c>
      <c r="F14" s="41" t="s">
        <v>143</v>
      </c>
      <c r="G14" s="41" t="s">
        <v>143</v>
      </c>
      <c r="H14" s="42">
        <f>H53*2136</f>
        <v>2403</v>
      </c>
    </row>
    <row r="15" spans="1:8" ht="45" customHeight="1">
      <c r="A15" s="39">
        <v>14</v>
      </c>
      <c r="B15" s="6"/>
      <c r="C15" s="41" t="s">
        <v>164</v>
      </c>
      <c r="D15" s="41" t="s">
        <v>165</v>
      </c>
      <c r="E15" s="41" t="s">
        <v>163</v>
      </c>
      <c r="F15" s="41" t="s">
        <v>143</v>
      </c>
      <c r="G15" s="41" t="s">
        <v>143</v>
      </c>
      <c r="H15" s="42">
        <f>H53*3738</f>
        <v>4205.25</v>
      </c>
    </row>
    <row r="16" spans="1:8" ht="44.7" customHeight="1">
      <c r="A16" s="39">
        <v>15</v>
      </c>
      <c r="B16" s="6"/>
      <c r="C16" s="41" t="s">
        <v>166</v>
      </c>
      <c r="D16" s="41" t="s">
        <v>167</v>
      </c>
      <c r="E16" s="40" t="s">
        <v>168</v>
      </c>
      <c r="F16" s="41" t="s">
        <v>143</v>
      </c>
      <c r="G16" s="41" t="s">
        <v>143</v>
      </c>
      <c r="H16" s="42">
        <f>H53*1202</f>
        <v>1352.25</v>
      </c>
    </row>
    <row r="17" spans="1:8" ht="44.7" customHeight="1">
      <c r="A17" s="39">
        <v>16</v>
      </c>
      <c r="B17" s="6"/>
      <c r="C17" s="41" t="s">
        <v>169</v>
      </c>
      <c r="D17" s="41" t="s">
        <v>170</v>
      </c>
      <c r="E17" s="41" t="s">
        <v>171</v>
      </c>
      <c r="F17" s="41" t="s">
        <v>143</v>
      </c>
      <c r="G17" s="41" t="s">
        <v>143</v>
      </c>
      <c r="H17" s="45">
        <f>H53*534</f>
        <v>600.75</v>
      </c>
    </row>
    <row r="18" spans="1:8" ht="44.7" customHeight="1">
      <c r="A18" s="39">
        <v>17</v>
      </c>
      <c r="B18" s="6"/>
      <c r="C18" s="11" t="s">
        <v>172</v>
      </c>
      <c r="D18" s="41" t="s">
        <v>173</v>
      </c>
      <c r="E18" s="41" t="s">
        <v>174</v>
      </c>
      <c r="F18" s="41" t="s">
        <v>143</v>
      </c>
      <c r="G18" s="41" t="s">
        <v>125</v>
      </c>
      <c r="H18" s="42">
        <f>H53*8010</f>
        <v>9011.25</v>
      </c>
    </row>
    <row r="19" spans="1:8" ht="44.7" customHeight="1">
      <c r="A19" s="39">
        <v>18</v>
      </c>
      <c r="B19" s="6"/>
      <c r="C19" s="11" t="s">
        <v>175</v>
      </c>
      <c r="D19" s="41" t="s">
        <v>176</v>
      </c>
      <c r="E19" s="41" t="s">
        <v>177</v>
      </c>
      <c r="F19" s="41" t="s">
        <v>143</v>
      </c>
      <c r="G19" s="41" t="s">
        <v>125</v>
      </c>
      <c r="H19" s="42">
        <f>H53*7369</f>
        <v>8290.125</v>
      </c>
    </row>
    <row r="20" spans="1:8" ht="44.7" customHeight="1">
      <c r="A20" s="39">
        <v>19</v>
      </c>
      <c r="B20" s="6"/>
      <c r="C20" s="41" t="s">
        <v>178</v>
      </c>
      <c r="D20" s="41" t="s">
        <v>179</v>
      </c>
      <c r="E20" s="41" t="s">
        <v>180</v>
      </c>
      <c r="F20" s="41" t="s">
        <v>143</v>
      </c>
      <c r="G20" s="41" t="s">
        <v>125</v>
      </c>
      <c r="H20" s="42">
        <f>H53*25632</f>
        <v>28836</v>
      </c>
    </row>
    <row r="21" spans="1:8" ht="44.7" customHeight="1">
      <c r="A21" s="39">
        <v>20</v>
      </c>
      <c r="B21" s="6"/>
      <c r="C21" s="41" t="s">
        <v>181</v>
      </c>
      <c r="D21" s="41" t="s">
        <v>182</v>
      </c>
      <c r="E21" s="41" t="s">
        <v>183</v>
      </c>
      <c r="F21" s="41" t="s">
        <v>143</v>
      </c>
      <c r="G21" s="41" t="s">
        <v>125</v>
      </c>
      <c r="H21" s="42">
        <f>H53*36846</f>
        <v>41451.75</v>
      </c>
    </row>
    <row r="22" spans="1:8" ht="44.7" customHeight="1">
      <c r="A22" s="39">
        <v>21</v>
      </c>
      <c r="B22" s="6"/>
      <c r="C22" s="40" t="s">
        <v>184</v>
      </c>
      <c r="D22" s="41" t="s">
        <v>185</v>
      </c>
      <c r="E22" s="41" t="s">
        <v>186</v>
      </c>
      <c r="F22" s="41" t="s">
        <v>143</v>
      </c>
      <c r="G22" s="41" t="s">
        <v>125</v>
      </c>
      <c r="H22" s="42">
        <f>H53*16981</f>
        <v>19103.625</v>
      </c>
    </row>
    <row r="23" spans="1:8" ht="52.2" customHeight="1">
      <c r="A23" s="39">
        <v>22</v>
      </c>
      <c r="B23" s="6"/>
      <c r="C23" s="46" t="s">
        <v>187</v>
      </c>
      <c r="D23" s="41" t="s">
        <v>188</v>
      </c>
      <c r="E23" s="41" t="s">
        <v>189</v>
      </c>
      <c r="F23" s="41" t="s">
        <v>143</v>
      </c>
      <c r="G23" s="41" t="s">
        <v>190</v>
      </c>
      <c r="H23" s="39">
        <v>0</v>
      </c>
    </row>
    <row r="24" spans="1:8" ht="52.2" customHeight="1">
      <c r="A24" s="39">
        <v>23</v>
      </c>
      <c r="B24" s="6"/>
      <c r="C24" s="46" t="s">
        <v>191</v>
      </c>
      <c r="D24" s="41" t="s">
        <v>192</v>
      </c>
      <c r="E24" s="41" t="s">
        <v>193</v>
      </c>
      <c r="F24" s="41" t="s">
        <v>143</v>
      </c>
      <c r="G24" s="41" t="s">
        <v>190</v>
      </c>
      <c r="H24" s="39">
        <v>0</v>
      </c>
    </row>
    <row r="25" spans="1:8" ht="52.5" customHeight="1">
      <c r="A25" s="39">
        <v>24</v>
      </c>
      <c r="B25" s="6"/>
      <c r="C25" s="41" t="s">
        <v>194</v>
      </c>
      <c r="D25" s="41" t="s">
        <v>195</v>
      </c>
      <c r="E25" s="41" t="s">
        <v>196</v>
      </c>
      <c r="F25" s="41" t="s">
        <v>143</v>
      </c>
      <c r="G25" s="41" t="s">
        <v>190</v>
      </c>
      <c r="H25" s="39">
        <v>0</v>
      </c>
    </row>
    <row r="26" spans="1:8" ht="52.2" customHeight="1">
      <c r="A26" s="39">
        <v>25</v>
      </c>
      <c r="B26" s="6"/>
      <c r="C26" s="46" t="s">
        <v>197</v>
      </c>
      <c r="D26" s="41" t="s">
        <v>198</v>
      </c>
      <c r="E26" s="41" t="s">
        <v>199</v>
      </c>
      <c r="F26" s="41" t="s">
        <v>143</v>
      </c>
      <c r="G26" s="41" t="s">
        <v>190</v>
      </c>
      <c r="H26" s="39">
        <v>0</v>
      </c>
    </row>
    <row r="27" spans="1:8" ht="45" customHeight="1">
      <c r="A27" s="39">
        <v>26</v>
      </c>
      <c r="B27" s="6"/>
      <c r="C27" s="43" t="s">
        <v>200</v>
      </c>
      <c r="D27" s="41" t="s">
        <v>201</v>
      </c>
      <c r="E27" s="41" t="s">
        <v>202</v>
      </c>
      <c r="F27" s="41" t="s">
        <v>143</v>
      </c>
      <c r="G27" s="41" t="s">
        <v>190</v>
      </c>
      <c r="H27" s="39">
        <v>0</v>
      </c>
    </row>
    <row r="28" spans="1:8" ht="44.7" customHeight="1">
      <c r="A28" s="39">
        <v>27</v>
      </c>
      <c r="B28" s="6"/>
      <c r="C28" s="41" t="s">
        <v>203</v>
      </c>
      <c r="D28" s="41" t="s">
        <v>204</v>
      </c>
      <c r="E28" s="41" t="s">
        <v>205</v>
      </c>
      <c r="F28" s="41" t="s">
        <v>143</v>
      </c>
      <c r="G28" s="41" t="s">
        <v>190</v>
      </c>
      <c r="H28" s="39">
        <v>0</v>
      </c>
    </row>
    <row r="29" spans="1:8" ht="49.95" customHeight="1"/>
    <row r="53" spans="8:8">
      <c r="H53">
        <v>1.125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DOCH Smart Panels</vt:lpstr>
      <vt:lpstr>DOCH_Lights</vt:lpstr>
      <vt:lpstr>NUE Smart Panels</vt:lpstr>
      <vt:lpstr>DOCH Scene Control Panels</vt:lpstr>
      <vt:lpstr>DOCH EOS Sales</vt:lpstr>
      <vt:lpstr>DOCH Smart Devices</vt:lpstr>
      <vt:lpstr>DOCH Smart Devices cat2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DOCH_Pricelist_2025_partner</dc:title>
  <dc:creator>Doch. mkt</dc:creator>
  <cp:keywords>DAG5rNXslTA,BAGYxH0cWhA,0</cp:keywords>
  <cp:lastModifiedBy>Narsimha Rao Nijalapur</cp:lastModifiedBy>
  <dcterms:created xsi:type="dcterms:W3CDTF">2025-12-04T14:10:20Z</dcterms:created>
  <dcterms:modified xsi:type="dcterms:W3CDTF">2026-01-09T12:14:01Z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2025-11-25T00:00:00Z</vt:filetime>
  </property>
  <property fmtid="{D5CDD505-2E9C-101B-9397-08002B2CF9AE}" pid="3" name="Creator">
    <vt:lpwstr>Canva</vt:lpwstr>
  </property>
  <property fmtid="{D5CDD505-2E9C-101B-9397-08002B2CF9AE}" pid="4" name="LastSaved">
    <vt:filetime>2025-12-04T00:00:00Z</vt:filetime>
  </property>
  <property fmtid="{D5CDD505-2E9C-101B-9397-08002B2CF9AE}" pid="5" name="Producer">
    <vt:lpwstr>Canva</vt:lpwstr>
  </property>
</Properties>
</file>